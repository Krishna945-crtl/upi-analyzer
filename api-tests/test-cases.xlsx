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est Cases" sheetId="2" state="visible" r:id="rId4"/>
    <sheet name="Defects" sheetId="3" state="visible" r:id="rId5"/>
  </sheets>
  <definedNames>
    <definedName function="false" hidden="true" localSheetId="1" name="_xlnm._FilterDatabase" vbProcedure="false">'Test Cases'!$A$1:$L$49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<sst xmlns="http://schemas.openxmlformats.org/spreadsheetml/2006/main" count="653" uniqueCount="363">
  <si>
    <t xml:space="preserve">UPI Analyzer API — Test Execution Summary</t>
  </si>
  <si>
    <t xml:space="preserve">Status and bug cells in blue are inputs; everything below recalculates from the other sheets.</t>
  </si>
  <si>
    <t xml:space="preserve">Total test cases</t>
  </si>
  <si>
    <t xml:space="preserve">Passed</t>
  </si>
  <si>
    <t xml:space="preserve">Failed</t>
  </si>
  <si>
    <t xml:space="preserve">Blocked / Not run</t>
  </si>
  <si>
    <t xml:space="preserve">Pass rate</t>
  </si>
  <si>
    <t xml:space="preserve">Defects logged</t>
  </si>
  <si>
    <t xml:space="preserve">Open defects</t>
  </si>
  <si>
    <t xml:space="preserve">Major defects</t>
  </si>
  <si>
    <t xml:space="preserve">Results by module</t>
  </si>
  <si>
    <t xml:space="preserve">Module</t>
  </si>
  <si>
    <t xml:space="preserve">Cases</t>
  </si>
  <si>
    <t xml:space="preserve">Pass</t>
  </si>
  <si>
    <t xml:space="preserve">Fail</t>
  </si>
  <si>
    <t xml:space="preserve">Health</t>
  </si>
  <si>
    <t xml:space="preserve">Register</t>
  </si>
  <si>
    <t xml:space="preserve">Login</t>
  </si>
  <si>
    <t xml:space="preserve">Authorization</t>
  </si>
  <si>
    <t xml:space="preserve">Upload</t>
  </si>
  <si>
    <t xml:space="preserve">Read</t>
  </si>
  <si>
    <t xml:space="preserve">Summary</t>
  </si>
  <si>
    <t xml:space="preserve">Isolation</t>
  </si>
  <si>
    <t xml:space="preserve">Delete</t>
  </si>
  <si>
    <t xml:space="preserve">Results by test type</t>
  </si>
  <si>
    <t xml:space="preserve">Type</t>
  </si>
  <si>
    <t xml:space="preserve">Positive</t>
  </si>
  <si>
    <t xml:space="preserve">Negative</t>
  </si>
  <si>
    <t xml:space="preserve">Boundary</t>
  </si>
  <si>
    <t xml:space="preserve">Security</t>
  </si>
  <si>
    <t xml:space="preserve">Environment: Node 22, Express 4, MongoDB 7 (CI) · Executed with Postman/Newman 6.2 · Oct 2026</t>
  </si>
  <si>
    <t xml:space="preserve">TC ID</t>
  </si>
  <si>
    <t xml:space="preserve">Scenario</t>
  </si>
  <si>
    <t xml:space="preserve">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</si>
  <si>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</si>
  <si>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</si>
  <si>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</si>
  <si>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</si>
  <si>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Bug ID</t>
  </si>
  <si>
    <t xml:space="preserve">Postman Request</t>
  </si>
  <si>
    <t xml:space="preserve">Priority</t>
  </si>
  <si>
    <t xml:space="preserve">TC-01</t>
  </si>
  <si>
    <t xml:space="preserve">API health check</t>
  </si>
  <si>
    <t xml:space="preserve">GET /</t>
  </si>
  <si>
    <t xml:space="preserve">—</t>
  </si>
  <si>
    <t xml:space="preserve">200, status 'ok', JSON, &lt; 1 s</t>
  </si>
  <si>
    <t xml:space="preserve">200, status 'ok', 4 ms</t>
  </si>
  <si>
    <t xml:space="preserve">01 / API is up</t>
  </si>
  <si>
    <t xml:space="preserve">High</t>
  </si>
  <si>
    <t xml:space="preserve">TC-02</t>
  </si>
  <si>
    <t xml:space="preserve">Unknown route</t>
  </si>
  <si>
    <t xml:space="preserve">GET /does-not-exist</t>
  </si>
  <si>
    <t xml:space="preserve">404 'Route not found'</t>
  </si>
  <si>
    <t xml:space="preserve">01 / Unknown route returns 404</t>
  </si>
  <si>
    <t xml:space="preserve">Low</t>
  </si>
  <si>
    <t xml:space="preserve">TC-03</t>
  </si>
  <si>
    <t xml:space="preserve">Register with valid details</t>
  </si>
  <si>
    <t xml:space="preserve">POST /auth/register</t>
  </si>
  <si>
    <t xml:space="preserve">name, new email, Secret@123</t>
  </si>
  <si>
    <t xml:space="preserve">201, JWT, email in lower case, no password in response</t>
  </si>
  <si>
    <t xml:space="preserve">201, JWT returned, email lowercased, no password</t>
  </si>
  <si>
    <t xml:space="preserve">02 / Register a new user</t>
  </si>
  <si>
    <t xml:space="preserve">TC-04</t>
  </si>
  <si>
    <t xml:space="preserve">Duplicate email</t>
  </si>
  <si>
    <t xml:space="preserve">Register same email twice</t>
  </si>
  <si>
    <t xml:space="preserve">existing email</t>
  </si>
  <si>
    <t xml:space="preserve">400 'Email already registered'</t>
  </si>
  <si>
    <t xml:space="preserve">400 as expected</t>
  </si>
  <si>
    <t xml:space="preserve">02 / Duplicate email is rejected</t>
  </si>
  <si>
    <t xml:space="preserve">TC-05</t>
  </si>
  <si>
    <t xml:space="preserve">Duplicate email in different case</t>
  </si>
  <si>
    <t xml:space="preserve">Register EMAIL in capitals</t>
  </si>
  <si>
    <t xml:space="preserve">QA.A…@TEST.COM</t>
  </si>
  <si>
    <t xml:space="preserve">400 (same account)</t>
  </si>
  <si>
    <t xml:space="preserve">02 / Duplicate email in different case</t>
  </si>
  <si>
    <t xml:space="preserve">TC-06</t>
  </si>
  <si>
    <t xml:space="preserve">Missing name</t>
  </si>
  <si>
    <t xml:space="preserve">POST without name</t>
  </si>
  <si>
    <t xml:space="preserve">email + password only</t>
  </si>
  <si>
    <t xml:space="preserve">422 'Name, email and password are required.'</t>
  </si>
  <si>
    <t xml:space="preserve">422 as expected</t>
  </si>
  <si>
    <t xml:space="preserve">02 / Missing name → 422</t>
  </si>
  <si>
    <t xml:space="preserve">Medium</t>
  </si>
  <si>
    <t xml:space="preserve">TC-07</t>
  </si>
  <si>
    <t xml:space="preserve">Name with only spaces</t>
  </si>
  <si>
    <t xml:space="preserve">POST name='   '</t>
  </si>
  <si>
    <t xml:space="preserve">3 spaces</t>
  </si>
  <si>
    <t xml:space="preserve">422</t>
  </si>
  <si>
    <t xml:space="preserve">02 / Name with only spaces → 422</t>
  </si>
  <si>
    <t xml:space="preserve">TC-08</t>
  </si>
  <si>
    <t xml:space="preserve">Missing password</t>
  </si>
  <si>
    <t xml:space="preserve">POST without password</t>
  </si>
  <si>
    <t xml:space="preserve">name + email</t>
  </si>
  <si>
    <t xml:space="preserve">02 / Missing password → 422</t>
  </si>
  <si>
    <t xml:space="preserve">TC-09</t>
  </si>
  <si>
    <t xml:space="preserve">Invalid email format</t>
  </si>
  <si>
    <t xml:space="preserve">POST email without @</t>
  </si>
  <si>
    <t xml:space="preserve">kittu.test.com</t>
  </si>
  <si>
    <t xml:space="preserve">422 'Please enter a valid email.'</t>
  </si>
  <si>
    <t xml:space="preserve">02 / Invalid email format → 422</t>
  </si>
  <si>
    <t xml:space="preserve">TC-10</t>
  </si>
  <si>
    <t xml:space="preserve">Malformed JSON body</t>
  </si>
  <si>
    <t xml:space="preserve">POST broken JSON</t>
  </si>
  <si>
    <t xml:space="preserve">{"name": "broken", </t>
  </si>
  <si>
    <t xml:space="preserve">400 'Invalid JSON body.'</t>
  </si>
  <si>
    <t xml:space="preserve">02 / Malformed JSON → 400</t>
  </si>
  <si>
    <t xml:space="preserve">TC-11</t>
  </si>
  <si>
    <t xml:space="preserve">Very short password</t>
  </si>
  <si>
    <t xml:space="preserve">POST password='1'</t>
  </si>
  <si>
    <t xml:space="preserve">1-character password</t>
  </si>
  <si>
    <t xml:space="preserve">422 — password too short</t>
  </si>
  <si>
    <t xml:space="preserve">201 — account created</t>
  </si>
  <si>
    <t xml:space="preserve">BUG-01</t>
  </si>
  <si>
    <t xml:space="preserve">Open Defects / BUG-01</t>
  </si>
  <si>
    <t xml:space="preserve">TC-12</t>
  </si>
  <si>
    <t xml:space="preserve">Password sent as a number</t>
  </si>
  <si>
    <t xml:space="preserve">POST password=123456 (number)</t>
  </si>
  <si>
    <t xml:space="preserve">123456</t>
  </si>
  <si>
    <t xml:space="preserve">422 validation message</t>
  </si>
  <si>
    <t xml:space="preserve">500 'Something went wrong on the server.'</t>
  </si>
  <si>
    <t xml:space="preserve">BUG-02</t>
  </si>
  <si>
    <t xml:space="preserve">Open Defects / BUG-02</t>
  </si>
  <si>
    <t xml:space="preserve">TC-13</t>
  </si>
  <si>
    <t xml:space="preserve">Very long name</t>
  </si>
  <si>
    <t xml:space="preserve">POST 5,000-char name</t>
  </si>
  <si>
    <t xml:space="preserve">'N' x 5000</t>
  </si>
  <si>
    <t xml:space="preserve">422 — name too long</t>
  </si>
  <si>
    <t xml:space="preserve">201 — 5,000-char name stored</t>
  </si>
  <si>
    <t xml:space="preserve">BUG-03</t>
  </si>
  <si>
    <t xml:space="preserve">Open Defects / BUG-03</t>
  </si>
  <si>
    <t xml:space="preserve">TC-14</t>
  </si>
  <si>
    <t xml:space="preserve">Email with spaces around it</t>
  </si>
  <si>
    <t xml:space="preserve">POST ' user@test.com '</t>
  </si>
  <si>
    <t xml:space="preserve">leading/trailing spaces</t>
  </si>
  <si>
    <t xml:space="preserve">201 — spaces trimmed (login already trims)</t>
  </si>
  <si>
    <t xml:space="preserve">BUG-04</t>
  </si>
  <si>
    <t xml:space="preserve">Open Defects / BUG-04</t>
  </si>
  <si>
    <t xml:space="preserve">TC-15</t>
  </si>
  <si>
    <t xml:space="preserve">Login with correct credentials</t>
  </si>
  <si>
    <t xml:space="preserve">POST /auth/login</t>
  </si>
  <si>
    <t xml:space="preserve">registered email + password</t>
  </si>
  <si>
    <t xml:space="preserve">200, JWT, same user</t>
  </si>
  <si>
    <t xml:space="preserve">200 as expected</t>
  </si>
  <si>
    <t xml:space="preserve">03 / Login with correct credentials</t>
  </si>
  <si>
    <t xml:space="preserve">TC-16</t>
  </si>
  <si>
    <t xml:space="preserve">Email in capitals</t>
  </si>
  <si>
    <t xml:space="preserve">Login with EMAIL in capitals</t>
  </si>
  <si>
    <t xml:space="preserve">upper-case email</t>
  </si>
  <si>
    <t xml:space="preserve">200</t>
  </si>
  <si>
    <t xml:space="preserve">03 / Login is case-insensitive</t>
  </si>
  <si>
    <t xml:space="preserve">TC-17</t>
  </si>
  <si>
    <t xml:space="preserve">Wrong password</t>
  </si>
  <si>
    <t xml:space="preserve">Login with wrong password</t>
  </si>
  <si>
    <t xml:space="preserve">wrong-password</t>
  </si>
  <si>
    <t xml:space="preserve">401 'Invalid email or password.'</t>
  </si>
  <si>
    <t xml:space="preserve">401 as expected</t>
  </si>
  <si>
    <t xml:space="preserve">03 / Wrong password → 401</t>
  </si>
  <si>
    <t xml:space="preserve">TC-18</t>
  </si>
  <si>
    <t xml:space="preserve">Unknown email (user enumeration)</t>
  </si>
  <si>
    <t xml:space="preserve">Login with unregistered email</t>
  </si>
  <si>
    <t xml:space="preserve">nobody.here@test.com</t>
  </si>
  <si>
    <t xml:space="preserve">401 with the SAME message as wrong password</t>
  </si>
  <si>
    <t xml:space="preserve">Same message</t>
  </si>
  <si>
    <t xml:space="preserve">03 / Unknown email gives the SAME message</t>
  </si>
  <si>
    <t xml:space="preserve">TC-19</t>
  </si>
  <si>
    <t xml:space="preserve">NoSQL injection in email</t>
  </si>
  <si>
    <t xml:space="preserve">email = {"$ne": null}</t>
  </si>
  <si>
    <t xml:space="preserve">object instead of string</t>
  </si>
  <si>
    <t xml:space="preserve">401, no login</t>
  </si>
  <si>
    <t xml:space="preserve">03 / NoSQL injection in email is blocked</t>
  </si>
  <si>
    <t xml:space="preserve">TC-20</t>
  </si>
  <si>
    <t xml:space="preserve">No token</t>
  </si>
  <si>
    <t xml:space="preserve">GET /transactions without header</t>
  </si>
  <si>
    <t xml:space="preserve">401 'Login required.'</t>
  </si>
  <si>
    <t xml:space="preserve">04 / No token → 401</t>
  </si>
  <si>
    <t xml:space="preserve">TC-21</t>
  </si>
  <si>
    <t xml:space="preserve">Malformed token</t>
  </si>
  <si>
    <t xml:space="preserve">Bearer not.a.token</t>
  </si>
  <si>
    <t xml:space="preserve">401</t>
  </si>
  <si>
    <t xml:space="preserve">04 / Malformed token → 401</t>
  </si>
  <si>
    <t xml:space="preserve">TC-22</t>
  </si>
  <si>
    <t xml:space="preserve">Forged token (wrong secret)</t>
  </si>
  <si>
    <t xml:space="preserve">JWT with real user id signed by attacker</t>
  </si>
  <si>
    <t xml:space="preserve">HS256, attacker-secret</t>
  </si>
  <si>
    <t xml:space="preserve">04 / Token signed with a wrong secret</t>
  </si>
  <si>
    <t xml:space="preserve">TC-23</t>
  </si>
  <si>
    <t xml:space="preserve">Wrong auth scheme</t>
  </si>
  <si>
    <t xml:space="preserve">Authorization: Basic &lt;token&gt;</t>
  </si>
  <si>
    <t xml:space="preserve">04 / Basic auth scheme → 401</t>
  </si>
  <si>
    <t xml:space="preserve">TC-24</t>
  </si>
  <si>
    <t xml:space="preserve">Lower-case 'bearer'</t>
  </si>
  <si>
    <t xml:space="preserve">Authorization: bearer &lt;token&gt;</t>
  </si>
  <si>
    <t xml:space="preserve">valid token</t>
  </si>
  <si>
    <t xml:space="preserve">200 (schemes are case-insensitive, RFC 7235)</t>
  </si>
  <si>
    <t xml:space="preserve">BUG-09</t>
  </si>
  <si>
    <t xml:space="preserve">Open Defects / BUG-09</t>
  </si>
  <si>
    <t xml:space="preserve">TC-25</t>
  </si>
  <si>
    <t xml:space="preserve">Valid signature, invalid user id</t>
  </si>
  <si>
    <t xml:space="preserve">JWT sub='not-an-object-id'</t>
  </si>
  <si>
    <t xml:space="preserve">signed with server secret</t>
  </si>
  <si>
    <t xml:space="preserve">500 server error</t>
  </si>
  <si>
    <t xml:space="preserve">BUG-08</t>
  </si>
  <si>
    <t xml:space="preserve">Open Defects / BUG-08</t>
  </si>
  <si>
    <t xml:space="preserve">TC-26</t>
  </si>
  <si>
    <t xml:space="preserve">Upload a valid statement</t>
  </si>
  <si>
    <t xml:space="preserve">POST /transactions, 4 rows</t>
  </si>
  <si>
    <t xml:space="preserve">Swiggy, Salary, Uber, 400-char row</t>
  </si>
  <si>
    <t xml:space="preserve">201, saved = 4</t>
  </si>
  <si>
    <t xml:space="preserve">05 / Upload 4 transactions</t>
  </si>
  <si>
    <t xml:space="preserve">TC-27</t>
  </si>
  <si>
    <t xml:space="preserve">Empty transactions list</t>
  </si>
  <si>
    <t xml:space="preserve">POST transactions=[]</t>
  </si>
  <si>
    <t xml:space="preserve">[]</t>
  </si>
  <si>
    <t xml:space="preserve">422 'No transactions to save.'</t>
  </si>
  <si>
    <t xml:space="preserve">05 / Empty transactions array</t>
  </si>
  <si>
    <t xml:space="preserve">TC-28</t>
  </si>
  <si>
    <t xml:space="preserve">transactions is not a list</t>
  </si>
  <si>
    <t xml:space="preserve">POST transactions={…}</t>
  </si>
  <si>
    <t xml:space="preserve">object</t>
  </si>
  <si>
    <t xml:space="preserve">05 / transactions is not an array</t>
  </si>
  <si>
    <t xml:space="preserve">TC-29</t>
  </si>
  <si>
    <t xml:space="preserve">Rows without a date</t>
  </si>
  <si>
    <t xml:space="preserve">POST row with no date</t>
  </si>
  <si>
    <t xml:space="preserve">{description, debit}</t>
  </si>
  <si>
    <t xml:space="preserve">422 'No valid rows'</t>
  </si>
  <si>
    <t xml:space="preserve">05 / Rows without a date</t>
  </si>
  <si>
    <t xml:space="preserve">TC-30</t>
  </si>
  <si>
    <t xml:space="preserve">Row limit + 1</t>
  </si>
  <si>
    <t xml:space="preserve">POST 5,001 rows</t>
  </si>
  <si>
    <t xml:space="preserve">limit is 5,000</t>
  </si>
  <si>
    <t xml:space="preserve">413 'Max 5000 transactions'</t>
  </si>
  <si>
    <t xml:space="preserve">413 as expected</t>
  </si>
  <si>
    <t xml:space="preserve">05 / 5,001 rows → 413</t>
  </si>
  <si>
    <t xml:space="preserve">TC-31</t>
  </si>
  <si>
    <t xml:space="preserve">Body over 2 MB</t>
  </si>
  <si>
    <t xml:space="preserve">POST ~2.5 MB body</t>
  </si>
  <si>
    <t xml:space="preserve">4,000 x 600-char rows</t>
  </si>
  <si>
    <t xml:space="preserve">413 'Statement too big. Max 2 MB.'</t>
  </si>
  <si>
    <t xml:space="preserve">05 / Body over 2 MB → 413</t>
  </si>
  <si>
    <t xml:space="preserve">TC-32</t>
  </si>
  <si>
    <t xml:space="preserve">Failed upload keeps old data</t>
  </si>
  <si>
    <t xml:space="preserve">After TC-27…31, GET list</t>
  </si>
  <si>
    <t xml:space="preserve">Still 4 rows</t>
  </si>
  <si>
    <t xml:space="preserve">4 rows</t>
  </si>
  <si>
    <t xml:space="preserve">05 / Failed uploads did not touch saved data</t>
  </si>
  <si>
    <t xml:space="preserve">TC-33</t>
  </si>
  <si>
    <t xml:space="preserve">Negative amount</t>
  </si>
  <si>
    <t xml:space="preserve">POST debit = -500</t>
  </si>
  <si>
    <t xml:space="preserve">refund row</t>
  </si>
  <si>
    <t xml:space="preserve">422 (or stored as a credit)</t>
  </si>
  <si>
    <t xml:space="preserve">201 — saved with debit 0 and credit 0, amount lost</t>
  </si>
  <si>
    <t xml:space="preserve">BUG-05</t>
  </si>
  <si>
    <t xml:space="preserve">Open Defects / BUG-05</t>
  </si>
  <si>
    <t xml:space="preserve">TC-34</t>
  </si>
  <si>
    <t xml:space="preserve">Invalid date text</t>
  </si>
  <si>
    <t xml:space="preserve">POST date = 'hello'</t>
  </si>
  <si>
    <t xml:space="preserve">hello</t>
  </si>
  <si>
    <t xml:space="preserve">422 — invalid date</t>
  </si>
  <si>
    <t xml:space="preserve">201 — counted in total but missing from monthly totals</t>
  </si>
  <si>
    <t xml:space="preserve">BUG-06</t>
  </si>
  <si>
    <t xml:space="preserve">Open Defects / BUG-06</t>
  </si>
  <si>
    <t xml:space="preserve">TC-35</t>
  </si>
  <si>
    <t xml:space="preserve">Both debit and credit filled</t>
  </si>
  <si>
    <t xml:space="preserve">POST debit 100 + credit 200</t>
  </si>
  <si>
    <t xml:space="preserve">one row</t>
  </si>
  <si>
    <t xml:space="preserve">422 — row must be one or the other</t>
  </si>
  <si>
    <t xml:space="preserve">201 — counted as spend AND income</t>
  </si>
  <si>
    <t xml:space="preserve">BUG-07</t>
  </si>
  <si>
    <t xml:space="preserve">Open Defects / BUG-07</t>
  </si>
  <si>
    <t xml:space="preserve">TC-36</t>
  </si>
  <si>
    <t xml:space="preserve">List transactions</t>
  </si>
  <si>
    <t xml:space="preserve">GET /transactions</t>
  </si>
  <si>
    <t xml:space="preserve">after TC-26</t>
  </si>
  <si>
    <t xml:space="preserve">4 rows, order kept, '120' → 120, empty credit → 0, category 'Others', 300-char cut</t>
  </si>
  <si>
    <t xml:space="preserve">All as expected</t>
  </si>
  <si>
    <t xml:space="preserve">06 / List all transactions</t>
  </si>
  <si>
    <t xml:space="preserve">TC-37</t>
  </si>
  <si>
    <t xml:space="preserve">Filter type=Debit / Credit</t>
  </si>
  <si>
    <t xml:space="preserve">GET ?type=Debit, ?type=Credit</t>
  </si>
  <si>
    <t xml:space="preserve">3 debits / 1 credit</t>
  </si>
  <si>
    <t xml:space="preserve">As expected</t>
  </si>
  <si>
    <t xml:space="preserve">06 / Filter type=Debit, Credit</t>
  </si>
  <si>
    <t xml:space="preserve">TC-38</t>
  </si>
  <si>
    <t xml:space="preserve">Filter by category</t>
  </si>
  <si>
    <t xml:space="preserve">GET ?category=Food, ?category=All</t>
  </si>
  <si>
    <t xml:space="preserve">1 row / 4 rows</t>
  </si>
  <si>
    <t xml:space="preserve">06 / Filter category</t>
  </si>
  <si>
    <t xml:space="preserve">TC-39</t>
  </si>
  <si>
    <t xml:space="preserve">Unknown filter value</t>
  </si>
  <si>
    <t xml:space="preserve">GET ?type=Refund</t>
  </si>
  <si>
    <t xml:space="preserve">Ignored, 4 rows</t>
  </si>
  <si>
    <t xml:space="preserve">06 / Unknown type value is ignored</t>
  </si>
  <si>
    <t xml:space="preserve">TC-40</t>
  </si>
  <si>
    <t xml:space="preserve">Case-insensitive search</t>
  </si>
  <si>
    <t xml:space="preserve">GET ?q=swiggy</t>
  </si>
  <si>
    <t xml:space="preserve">lower case</t>
  </si>
  <si>
    <t xml:space="preserve">Finds 'SWIGGY'</t>
  </si>
  <si>
    <t xml:space="preserve">1 row</t>
  </si>
  <si>
    <t xml:space="preserve">06 / Search is case-insensitive</t>
  </si>
  <si>
    <t xml:space="preserve">TC-41</t>
  </si>
  <si>
    <t xml:space="preserve">Regex characters in search</t>
  </si>
  <si>
    <t xml:space="preserve">GET ?q=.*</t>
  </si>
  <si>
    <t xml:space="preserve">.*</t>
  </si>
  <si>
    <t xml:space="preserve">0 rows (treated as text, no regex injection)</t>
  </si>
  <si>
    <t xml:space="preserve">0 rows</t>
  </si>
  <si>
    <t xml:space="preserve">06 / Regex characters in search</t>
  </si>
  <si>
    <t xml:space="preserve">TC-42</t>
  </si>
  <si>
    <t xml:space="preserve">Combined filters</t>
  </si>
  <si>
    <t xml:space="preserve">GET ?type=Debit&amp;q=uber</t>
  </si>
  <si>
    <t xml:space="preserve">06 / Combined filters</t>
  </si>
  <si>
    <t xml:space="preserve">TC-43</t>
  </si>
  <si>
    <t xml:space="preserve">Summary totals and charts</t>
  </si>
  <si>
    <t xml:space="preserve">GET /transactions/summary</t>
  </si>
  <si>
    <t xml:space="preserve">Spent 450, received 30,000, count 4, avg 112.5, categories Food&gt;Travel&gt;Others, months add up</t>
  </si>
  <si>
    <t xml:space="preserve">As expected (MongoDB 7 in CI)</t>
  </si>
  <si>
    <t xml:space="preserve">07 / Summary totals are correct</t>
  </si>
  <si>
    <t xml:space="preserve">TC-44</t>
  </si>
  <si>
    <t xml:space="preserve">Another user can't see my data</t>
  </si>
  <si>
    <t xml:space="preserve">Register B, GET list + summary</t>
  </si>
  <si>
    <t xml:space="preserve">user B token</t>
  </si>
  <si>
    <t xml:space="preserve">0 rows, total 0</t>
  </si>
  <si>
    <t xml:space="preserve">08 / User B cannot see user A's data</t>
  </si>
  <si>
    <t xml:space="preserve">TC-45</t>
  </si>
  <si>
    <t xml:space="preserve">Another user can't delete my data</t>
  </si>
  <si>
    <t xml:space="preserve">B: DELETE /transactions, then A: GET</t>
  </si>
  <si>
    <t xml:space="preserve">B deletes 0; A still has 4</t>
  </si>
  <si>
    <t xml:space="preserve">08 / User B delete does not touch A</t>
  </si>
  <si>
    <t xml:space="preserve">TC-46</t>
  </si>
  <si>
    <t xml:space="preserve">New upload replaces old data</t>
  </si>
  <si>
    <t xml:space="preserve">POST new 1-row statement, GET</t>
  </si>
  <si>
    <t xml:space="preserve">march.csv</t>
  </si>
  <si>
    <t xml:space="preserve">Only 1 row from march.csv</t>
  </si>
  <si>
    <t xml:space="preserve">09 / New upload replaces old data</t>
  </si>
  <si>
    <t xml:space="preserve">TC-47</t>
  </si>
  <si>
    <t xml:space="preserve">Delete all data</t>
  </si>
  <si>
    <t xml:space="preserve">DELETE, then GET summary</t>
  </si>
  <si>
    <t xml:space="preserve">deleted = 1, summary all zeros</t>
  </si>
  <si>
    <t xml:space="preserve">09 / Delete statement data</t>
  </si>
  <si>
    <t xml:space="preserve">TC-48</t>
  </si>
  <si>
    <t xml:space="preserve">Delete twice</t>
  </si>
  <si>
    <t xml:space="preserve">DELETE again</t>
  </si>
  <si>
    <t xml:space="preserve">200, deleted = 0</t>
  </si>
  <si>
    <t xml:space="preserve">09 / Deleting again is safe</t>
  </si>
  <si>
    <t xml:space="preserve">Title</t>
  </si>
  <si>
    <t xml:space="preserve">Severity</t>
  </si>
  <si>
    <t xml:space="preserve">Found by</t>
  </si>
  <si>
    <t xml:space="preserve">Details</t>
  </si>
  <si>
    <t xml:space="preserve">Register accepts a 1-character password</t>
  </si>
  <si>
    <t xml:space="preserve">Major</t>
  </si>
  <si>
    <t xml:space="preserve">P2</t>
  </si>
  <si>
    <t xml:space="preserve">Open</t>
  </si>
  <si>
    <t xml:space="preserve">See BUG_REPORTS.md</t>
  </si>
  <si>
    <t xml:space="preserve">Numeric password crashes the server (HTTP 500)</t>
  </si>
  <si>
    <t xml:space="preserve">P1</t>
  </si>
  <si>
    <t xml:space="preserve">No maximum length on name (5,000 chars stored)</t>
  </si>
  <si>
    <t xml:space="preserve">Minor</t>
  </si>
  <si>
    <t xml:space="preserve">P3</t>
  </si>
  <si>
    <t xml:space="preserve">Register rejects email with surrounding spaces, login accepts it</t>
  </si>
  <si>
    <t xml:space="preserve">Negative amount silently saved as 0 (money lost from totals)</t>
  </si>
  <si>
    <t xml:space="preserve">Invalid date accepted; monthly totals stop matching the total</t>
  </si>
  <si>
    <t xml:space="preserve">Row with both debit and credit counted as spend and income</t>
  </si>
  <si>
    <t xml:space="preserve">Token with non-ObjectId user id crashes (HTTP 500)</t>
  </si>
  <si>
    <t xml:space="preserve">Lower-case 'bearer' auth scheme rejected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</si>
</sst>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f aca="false">COUNTA('Test Cases'!A2:A1000)</f>
        <v>48</v>
      </c>
    </row>
    <row r="5" customFormat="false" ht="15" hidden="false" customHeight="false" outlineLevel="0" collapsed="false">
      <c r="A5" s="3" t="s">
        <v>3</v>
      </c>
      <c r="B5" s="4" t="n">
        <f aca="false">COUNTIF('Test Cases'!I2:I1000,"Pass")</f>
        <v>39</v>
      </c>
    </row>
    <row r="6" customFormat="false" ht="15" hidden="false" customHeight="false" outlineLevel="0" collapsed="false">
      <c r="A6" s="3" t="s">
        <v>4</v>
      </c>
      <c r="B6" s="4" t="n">
        <f aca="false">COUNTIF('Test Cases'!I2:I1000,"Fail")</f>
        <v>9</v>
      </c>
    </row>
    <row r="7" customFormat="false" ht="15" hidden="false" customHeight="false" outlineLevel="0" collapsed="false">
      <c r="A7" s="3" t="s">
        <v>5</v>
      </c>
      <c r="B7" s="4" t="n">
        <f aca="false">COUNTIF('Test Cases'!I2:I1000,"Blocked")+COUNTIF('Test Cases'!I2:I1000,"Not Run")</f>
        <v>0</v>
      </c>
    </row>
    <row r="8" customFormat="false" ht="15" hidden="false" customHeight="false" outlineLevel="0" collapsed="false">
      <c r="A8" s="3" t="s">
        <v>6</v>
      </c>
      <c r="B8" s="5" t="n">
        <f aca="false">IF(B4=0,0,B5/B4)</f>
        <v>0.8125</v>
      </c>
    </row>
    <row r="9" customFormat="false" ht="15" hidden="false" customHeight="false" outlineLevel="0" collapsed="false">
      <c r="A9" s="3" t="s">
        <v>7</v>
      </c>
      <c r="B9" s="4" t="n">
        <f aca="false">COUNTA(Defects!A2:A1000)</f>
        <v>9</v>
      </c>
    </row>
    <row r="10" customFormat="false" ht="15" hidden="false" customHeight="false" outlineLevel="0" collapsed="false">
      <c r="A10" s="3" t="s">
        <v>8</v>
      </c>
      <c r="B10" s="4" t="n">
        <f aca="false">COUNTIF(Defects!F2:F1000,"Open")+COUNTIF(Defects!F2:F1000,"In Progress")</f>
        <v>9</v>
      </c>
    </row>
    <row r="11" customFormat="false" ht="15" hidden="false" customHeight="false" outlineLevel="0" collapsed="false">
      <c r="A11" s="3" t="s">
        <v>9</v>
      </c>
      <c r="B11" s="4" t="n">
        <f aca="false">COUNTIF(Defects!C2:C1000,"Major")</f>
        <v>5</v>
      </c>
    </row>
    <row r="14" customFormat="false" ht="15" hidden="false" customHeight="false" outlineLevel="0" collapsed="false">
      <c r="A14" s="6" t="s">
        <v>10</v>
      </c>
    </row>
    <row r="15" customFormat="false" ht="15" hidden="false" customHeight="false" outlineLevel="0" collapsed="false">
      <c r="A15" s="7" t="s">
        <v>11</v>
      </c>
      <c r="B15" s="7" t="s">
        <v>12</v>
      </c>
      <c r="C15" s="7" t="s">
        <v>13</v>
      </c>
      <c r="D15" s="7" t="s">
        <v>14</v>
      </c>
    </row>
    <row r="16" customFormat="false" ht="15" hidden="false" customHeight="false" outlineLevel="0" collapsed="false">
      <c r="A16" s="4" t="s">
        <v>15</v>
      </c>
      <c r="B16" s="4" t="n">
        <f aca="false">COUNTIF('Test Cases'!$B$2:$B$1000,$A16)</f>
        <v>2</v>
      </c>
      <c r="C16" s="4" t="n">
        <f aca="false">COUNTIFS('Test Cases'!$B$2:$B$1000,$A16,'Test Cases'!$I$2:$I$1000,"Pass")</f>
        <v>2</v>
      </c>
      <c r="D16" s="4" t="n">
        <f aca="false">COUNTIFS('Test Cases'!$B$2:$B$1000,$A16,'Test Cases'!$I$2:$I$1000,"Fail")</f>
        <v>0</v>
      </c>
    </row>
    <row r="17" customFormat="false" ht="15" hidden="false" customHeight="false" outlineLevel="0" collapsed="false">
      <c r="A17" s="4" t="s">
        <v>16</v>
      </c>
      <c r="B17" s="4" t="n">
        <f aca="false">COUNTIF('Test Cases'!$B$2:$B$1000,$A17)</f>
        <v>12</v>
      </c>
      <c r="C17" s="4" t="n">
        <f aca="false">COUNTIFS('Test Cases'!$B$2:$B$1000,$A17,'Test Cases'!$I$2:$I$1000,"Pass")</f>
        <v>8</v>
      </c>
      <c r="D17" s="4" t="n">
        <f aca="false">COUNTIFS('Test Cases'!$B$2:$B$1000,$A17,'Test Cases'!$I$2:$I$1000,"Fail")</f>
        <v>4</v>
      </c>
    </row>
    <row r="18" customFormat="false" ht="15" hidden="false" customHeight="false" outlineLevel="0" collapsed="false">
      <c r="A18" s="4" t="s">
        <v>17</v>
      </c>
      <c r="B18" s="4" t="n">
        <f aca="false">COUNTIF('Test Cases'!$B$2:$B$1000,$A18)</f>
        <v>5</v>
      </c>
      <c r="C18" s="4" t="n">
        <f aca="false">COUNTIFS('Test Cases'!$B$2:$B$1000,$A18,'Test Cases'!$I$2:$I$1000,"Pass")</f>
        <v>5</v>
      </c>
      <c r="D18" s="4" t="n">
        <f aca="false">COUNTIFS('Test Cases'!$B$2:$B$1000,$A18,'Test Cases'!$I$2:$I$1000,"Fail")</f>
        <v>0</v>
      </c>
    </row>
    <row r="19" customFormat="false" ht="15" hidden="false" customHeight="false" outlineLevel="0" collapsed="false">
      <c r="A19" s="4" t="s">
        <v>18</v>
      </c>
      <c r="B19" s="4" t="n">
        <f aca="false">COUNTIF('Test Cases'!$B$2:$B$1000,$A19)</f>
        <v>6</v>
      </c>
      <c r="C19" s="4" t="n">
        <f aca="false">COUNTIFS('Test Cases'!$B$2:$B$1000,$A19,'Test Cases'!$I$2:$I$1000,"Pass")</f>
        <v>4</v>
      </c>
      <c r="D19" s="4" t="n">
        <f aca="false">COUNTIFS('Test Cases'!$B$2:$B$1000,$A19,'Test Cases'!$I$2:$I$1000,"Fail")</f>
        <v>2</v>
      </c>
    </row>
    <row r="20" customFormat="false" ht="15" hidden="false" customHeight="false" outlineLevel="0" collapsed="false">
      <c r="A20" s="4" t="s">
        <v>19</v>
      </c>
      <c r="B20" s="4" t="n">
        <f aca="false">COUNTIF('Test Cases'!$B$2:$B$1000,$A20)</f>
        <v>10</v>
      </c>
      <c r="C20" s="4" t="n">
        <f aca="false">COUNTIFS('Test Cases'!$B$2:$B$1000,$A20,'Test Cases'!$I$2:$I$1000,"Pass")</f>
        <v>7</v>
      </c>
      <c r="D20" s="4" t="n">
        <f aca="false">COUNTIFS('Test Cases'!$B$2:$B$1000,$A20,'Test Cases'!$I$2:$I$1000,"Fail")</f>
        <v>3</v>
      </c>
    </row>
    <row r="21" customFormat="false" ht="15" hidden="false" customHeight="false" outlineLevel="0" collapsed="false">
      <c r="A21" s="4" t="s">
        <v>20</v>
      </c>
      <c r="B21" s="4" t="n">
        <f aca="false">COUNTIF('Test Cases'!$B$2:$B$1000,$A21)</f>
        <v>7</v>
      </c>
      <c r="C21" s="4" t="n">
        <f aca="false">COUNTIFS('Test Cases'!$B$2:$B$1000,$A21,'Test Cases'!$I$2:$I$1000,"Pass")</f>
        <v>7</v>
      </c>
      <c r="D21" s="4" t="n">
        <f aca="false">COUNTIFS('Test Cases'!$B$2:$B$1000,$A21,'Test Cases'!$I$2:$I$1000,"Fail")</f>
        <v>0</v>
      </c>
    </row>
    <row r="22" customFormat="false" ht="15" hidden="false" customHeight="false" outlineLevel="0" collapsed="false">
      <c r="A22" s="4" t="s">
        <v>21</v>
      </c>
      <c r="B22" s="4" t="n">
        <f aca="false">COUNTIF('Test Cases'!$B$2:$B$1000,$A22)</f>
        <v>1</v>
      </c>
      <c r="C22" s="4" t="n">
        <f aca="false">COUNTIFS('Test Cases'!$B$2:$B$1000,$A22,'Test Cases'!$I$2:$I$1000,"Pass")</f>
        <v>1</v>
      </c>
      <c r="D22" s="4" t="n">
        <f aca="false">COUNTIFS('Test Cases'!$B$2:$B$1000,$A22,'Test Cases'!$I$2:$I$1000,"Fail")</f>
        <v>0</v>
      </c>
    </row>
    <row r="23" customFormat="false" ht="15" hidden="false" customHeight="false" outlineLevel="0" collapsed="false">
      <c r="A23" s="4" t="s">
        <v>22</v>
      </c>
      <c r="B23" s="4" t="n">
        <f aca="false">COUNTIF('Test Cases'!$B$2:$B$1000,$A23)</f>
        <v>2</v>
      </c>
      <c r="C23" s="4" t="n">
        <f aca="false">COUNTIFS('Test Cases'!$B$2:$B$1000,$A23,'Test Cases'!$I$2:$I$1000,"Pass")</f>
        <v>2</v>
      </c>
      <c r="D23" s="4" t="n">
        <f aca="false">COUNTIFS('Test Cases'!$B$2:$B$1000,$A23,'Test Cases'!$I$2:$I$1000,"Fail")</f>
        <v>0</v>
      </c>
    </row>
    <row r="24" customFormat="false" ht="15" hidden="false" customHeight="false" outlineLevel="0" collapsed="false">
      <c r="A24" s="4" t="s">
        <v>23</v>
      </c>
      <c r="B24" s="4" t="n">
        <f aca="false">COUNTIF('Test Cases'!$B$2:$B$1000,$A24)</f>
        <v>3</v>
      </c>
      <c r="C24" s="4" t="n">
        <f aca="false">COUNTIFS('Test Cases'!$B$2:$B$1000,$A24,'Test Cases'!$I$2:$I$1000,"Pass")</f>
        <v>3</v>
      </c>
      <c r="D24" s="4" t="n">
        <f aca="false">COUNTIFS('Test Cases'!$B$2:$B$1000,$A24,'Test Cases'!$I$2:$I$1000,"Fail")</f>
        <v>0</v>
      </c>
    </row>
    <row r="26" customFormat="false" ht="15" hidden="false" customHeight="false" outlineLevel="0" collapsed="false">
      <c r="A26" s="6" t="s">
        <v>24</v>
      </c>
    </row>
    <row r="27" customFormat="false" ht="15" hidden="false" customHeight="false" outlineLevel="0" collapsed="false">
      <c r="A27" s="7" t="s">
        <v>25</v>
      </c>
      <c r="B27" s="7" t="s">
        <v>12</v>
      </c>
      <c r="C27" s="7" t="s">
        <v>13</v>
      </c>
      <c r="D27" s="7" t="s">
        <v>14</v>
      </c>
    </row>
    <row r="28" customFormat="false" ht="15" hidden="false" customHeight="false" outlineLevel="0" collapsed="false">
      <c r="A28" s="4" t="s">
        <v>26</v>
      </c>
      <c r="B28" s="4" t="n">
        <f aca="false">COUNTIF('Test Cases'!$D$2:$D$1000,$A28)</f>
        <v>13</v>
      </c>
      <c r="C28" s="4" t="n">
        <f aca="false">COUNTIFS('Test Cases'!$D$2:$D$1000,$A28,'Test Cases'!$I$2:$I$1000,"Pass")</f>
        <v>13</v>
      </c>
      <c r="D28" s="4" t="n">
        <f aca="false">COUNTIFS('Test Cases'!$D$2:$D$1000,$A28,'Test Cases'!$I$2:$I$1000,"Fail")</f>
        <v>0</v>
      </c>
    </row>
    <row r="29" customFormat="false" ht="15" hidden="false" customHeight="false" outlineLevel="0" collapsed="false">
      <c r="A29" s="4" t="s">
        <v>27</v>
      </c>
      <c r="B29" s="4" t="n">
        <f aca="false">COUNTIF('Test Cases'!$D$2:$D$1000,$A29)</f>
        <v>20</v>
      </c>
      <c r="C29" s="4" t="n">
        <f aca="false">COUNTIFS('Test Cases'!$D$2:$D$1000,$A29,'Test Cases'!$I$2:$I$1000,"Pass")</f>
        <v>14</v>
      </c>
      <c r="D29" s="4" t="n">
        <f aca="false">COUNTIFS('Test Cases'!$D$2:$D$1000,$A29,'Test Cases'!$I$2:$I$1000,"Fail")</f>
        <v>6</v>
      </c>
    </row>
    <row r="30" customFormat="false" ht="15" hidden="false" customHeight="false" outlineLevel="0" collapsed="false">
      <c r="A30" s="4" t="s">
        <v>28</v>
      </c>
      <c r="B30" s="4" t="n">
        <f aca="false">COUNTIF('Test Cases'!$D$2:$D$1000,$A30)</f>
        <v>6</v>
      </c>
      <c r="C30" s="4" t="n">
        <f aca="false">COUNTIFS('Test Cases'!$D$2:$D$1000,$A30,'Test Cases'!$I$2:$I$1000,"Pass")</f>
        <v>3</v>
      </c>
      <c r="D30" s="4" t="n">
        <f aca="false">COUNTIFS('Test Cases'!$D$2:$D$1000,$A30,'Test Cases'!$I$2:$I$1000,"Fail")</f>
        <v>3</v>
      </c>
    </row>
    <row r="31" customFormat="false" ht="15" hidden="false" customHeight="false" outlineLevel="0" collapsed="false">
      <c r="A31" s="4" t="s">
        <v>29</v>
      </c>
      <c r="B31" s="4" t="n">
        <f aca="false">COUNTIF('Test Cases'!$D$2:$D$1000,$A31)</f>
        <v>9</v>
      </c>
      <c r="C31" s="4" t="n">
        <f aca="false">COUNTIFS('Test Cases'!$D$2:$D$1000,$A31,'Test Cases'!$I$2:$I$1000,"Pass")</f>
        <v>9</v>
      </c>
      <c r="D31" s="4" t="n">
        <f aca="false">COUNTIFS('Test Cases'!$D$2:$D$1000,$A31,'Test Cases'!$I$2:$I$1000,"Fail")</f>
        <v>0</v>
      </c>
    </row>
    <row r="33" customFormat="false" ht="15" hidden="false" customHeight="false" outlineLevel="0" collapsed="false">
      <c r="A33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32"/>
    <col collapsed="false" customWidth="true" hidden="false" outlineLevel="0" max="4" min="4" style="0" width="11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7" min="7" style="0" width="44"/>
    <col collapsed="false" customWidth="true" hidden="false" outlineLevel="0" max="8" min="8" style="0" width="40"/>
    <col collapsed="false" customWidth="true" hidden="false" outlineLevel="0" max="10" min="9" style="0" width="9"/>
    <col collapsed="false" customWidth="true" hidden="false" outlineLevel="0" max="11" min="11" style="0" width="40"/>
    <col collapsed="false" customWidth="true" hidden="false" outlineLevel="0" max="12" min="12" style="0" width="9"/>
  </cols>
  <sheetData>
    <row r="1" customFormat="false" ht="15" hidden="false" customHeight="false" outlineLevel="0" collapsed="false">
      <c r="A1" s="8" t="s">
        <v>31</v>
      </c>
      <c r="B1" s="8" t="s">
        <v>11</v>
      </c>
      <c r="C1" s="8" t="s">
        <v>32</v>
      </c>
      <c r="D1" s="8" t="s">
        <v>25</v>
      </c>
      <c r="E1" s="8" t="s">
        <v>33</v>
      </c>
      <c r="F1" s="8" t="s">
        <v>34</v>
      </c>
      <c r="G1" s="8" t="s">
        <v>35</v>
      </c>
      <c r="H1" s="8" t="s">
        <v>36</v>
      </c>
      <c r="I1" s="8" t="s">
        <v>37</v>
      </c>
      <c r="J1" s="8" t="s">
        <v>38</v>
      </c>
      <c r="K1" s="8" t="s">
        <v>39</v>
      </c>
      <c r="L1" s="8" t="s">
        <v>40</v>
      </c>
    </row>
    <row r="2" customFormat="false" ht="15" hidden="false" customHeight="false" outlineLevel="0" collapsed="false">
      <c r="A2" s="9" t="s">
        <v>41</v>
      </c>
      <c r="B2" s="9" t="s">
        <v>15</v>
      </c>
      <c r="C2" s="9" t="s">
        <v>42</v>
      </c>
      <c r="D2" s="9" t="s">
        <v>26</v>
      </c>
      <c r="E2" s="9" t="s">
        <v>43</v>
      </c>
      <c r="F2" s="9" t="s">
        <v>44</v>
      </c>
      <c r="G2" s="9" t="s">
        <v>45</v>
      </c>
      <c r="H2" s="10" t="s">
        <v>46</v>
      </c>
      <c r="I2" s="10" t="s">
        <v>13</v>
      </c>
      <c r="J2" s="9"/>
      <c r="K2" s="9" t="s">
        <v>47</v>
      </c>
      <c r="L2" s="9" t="s">
        <v>48</v>
      </c>
    </row>
    <row r="3" customFormat="false" ht="15" hidden="false" customHeight="false" outlineLevel="0" collapsed="false">
      <c r="A3" s="9" t="s">
        <v>49</v>
      </c>
      <c r="B3" s="9" t="s">
        <v>15</v>
      </c>
      <c r="C3" s="9" t="s">
        <v>50</v>
      </c>
      <c r="D3" s="9" t="s">
        <v>27</v>
      </c>
      <c r="E3" s="9" t="s">
        <v>51</v>
      </c>
      <c r="F3" s="9" t="s">
        <v>44</v>
      </c>
      <c r="G3" s="9" t="s">
        <v>52</v>
      </c>
      <c r="H3" s="10" t="s">
        <v>52</v>
      </c>
      <c r="I3" s="10" t="s">
        <v>13</v>
      </c>
      <c r="J3" s="9"/>
      <c r="K3" s="9" t="s">
        <v>53</v>
      </c>
      <c r="L3" s="9" t="s">
        <v>54</v>
      </c>
    </row>
    <row r="4" customFormat="false" ht="23.85" hidden="false" customHeight="false" outlineLevel="0" collapsed="false">
      <c r="A4" s="9" t="s">
        <v>55</v>
      </c>
      <c r="B4" s="9" t="s">
        <v>16</v>
      </c>
      <c r="C4" s="9" t="s">
        <v>56</v>
      </c>
      <c r="D4" s="9" t="s">
        <v>26</v>
      </c>
      <c r="E4" s="9" t="s">
        <v>57</v>
      </c>
      <c r="F4" s="9" t="s">
        <v>58</v>
      </c>
      <c r="G4" s="9" t="s">
        <v>59</v>
      </c>
      <c r="H4" s="10" t="s">
        <v>60</v>
      </c>
      <c r="I4" s="10" t="s">
        <v>13</v>
      </c>
      <c r="J4" s="9"/>
      <c r="K4" s="9" t="s">
        <v>61</v>
      </c>
      <c r="L4" s="9" t="s">
        <v>48</v>
      </c>
    </row>
    <row r="5" customFormat="false" ht="15" hidden="false" customHeight="false" outlineLevel="0" collapsed="false">
      <c r="A5" s="9" t="s">
        <v>62</v>
      </c>
      <c r="B5" s="9" t="s">
        <v>16</v>
      </c>
      <c r="C5" s="9" t="s">
        <v>63</v>
      </c>
      <c r="D5" s="9" t="s">
        <v>27</v>
      </c>
      <c r="E5" s="9" t="s">
        <v>64</v>
      </c>
      <c r="F5" s="9" t="s">
        <v>65</v>
      </c>
      <c r="G5" s="9" t="s">
        <v>66</v>
      </c>
      <c r="H5" s="10" t="s">
        <v>67</v>
      </c>
      <c r="I5" s="10" t="s">
        <v>13</v>
      </c>
      <c r="J5" s="9"/>
      <c r="K5" s="9" t="s">
        <v>68</v>
      </c>
      <c r="L5" s="9" t="s">
        <v>48</v>
      </c>
    </row>
    <row r="6" customFormat="false" ht="15" hidden="false" customHeight="false" outlineLevel="0" collapsed="false">
      <c r="A6" s="9" t="s">
        <v>69</v>
      </c>
      <c r="B6" s="9" t="s">
        <v>16</v>
      </c>
      <c r="C6" s="9" t="s">
        <v>70</v>
      </c>
      <c r="D6" s="9" t="s">
        <v>27</v>
      </c>
      <c r="E6" s="9" t="s">
        <v>71</v>
      </c>
      <c r="F6" s="9" t="s">
        <v>72</v>
      </c>
      <c r="G6" s="9" t="s">
        <v>73</v>
      </c>
      <c r="H6" s="10" t="s">
        <v>67</v>
      </c>
      <c r="I6" s="10" t="s">
        <v>13</v>
      </c>
      <c r="J6" s="9"/>
      <c r="K6" s="9" t="s">
        <v>74</v>
      </c>
      <c r="L6" s="9" t="s">
        <v>48</v>
      </c>
    </row>
    <row r="7" customFormat="false" ht="15" hidden="false" customHeight="false" outlineLevel="0" collapsed="false">
      <c r="A7" s="9" t="s">
        <v>75</v>
      </c>
      <c r="B7" s="9" t="s">
        <v>16</v>
      </c>
      <c r="C7" s="9" t="s">
        <v>76</v>
      </c>
      <c r="D7" s="9" t="s">
        <v>27</v>
      </c>
      <c r="E7" s="9" t="s">
        <v>77</v>
      </c>
      <c r="F7" s="9" t="s">
        <v>78</v>
      </c>
      <c r="G7" s="9" t="s">
        <v>79</v>
      </c>
      <c r="H7" s="10" t="s">
        <v>80</v>
      </c>
      <c r="I7" s="10" t="s">
        <v>13</v>
      </c>
      <c r="J7" s="9"/>
      <c r="K7" s="9" t="s">
        <v>81</v>
      </c>
      <c r="L7" s="9" t="s">
        <v>82</v>
      </c>
    </row>
    <row r="8" customFormat="false" ht="15" hidden="false" customHeight="false" outlineLevel="0" collapsed="false">
      <c r="A8" s="9" t="s">
        <v>83</v>
      </c>
      <c r="B8" s="9" t="s">
        <v>16</v>
      </c>
      <c r="C8" s="9" t="s">
        <v>84</v>
      </c>
      <c r="D8" s="9" t="s">
        <v>28</v>
      </c>
      <c r="E8" s="9" t="s">
        <v>85</v>
      </c>
      <c r="F8" s="9" t="s">
        <v>86</v>
      </c>
      <c r="G8" s="9" t="s">
        <v>87</v>
      </c>
      <c r="H8" s="10" t="s">
        <v>80</v>
      </c>
      <c r="I8" s="10" t="s">
        <v>13</v>
      </c>
      <c r="J8" s="9"/>
      <c r="K8" s="9" t="s">
        <v>88</v>
      </c>
      <c r="L8" s="9" t="s">
        <v>82</v>
      </c>
    </row>
    <row r="9" customFormat="false" ht="15" hidden="false" customHeight="false" outlineLevel="0" collapsed="false">
      <c r="A9" s="9" t="s">
        <v>89</v>
      </c>
      <c r="B9" s="9" t="s">
        <v>16</v>
      </c>
      <c r="C9" s="9" t="s">
        <v>90</v>
      </c>
      <c r="D9" s="9" t="s">
        <v>27</v>
      </c>
      <c r="E9" s="9" t="s">
        <v>91</v>
      </c>
      <c r="F9" s="9" t="s">
        <v>92</v>
      </c>
      <c r="G9" s="9" t="s">
        <v>87</v>
      </c>
      <c r="H9" s="10" t="s">
        <v>80</v>
      </c>
      <c r="I9" s="10" t="s">
        <v>13</v>
      </c>
      <c r="J9" s="9"/>
      <c r="K9" s="9" t="s">
        <v>93</v>
      </c>
      <c r="L9" s="9" t="s">
        <v>82</v>
      </c>
    </row>
    <row r="10" customFormat="false" ht="15" hidden="false" customHeight="false" outlineLevel="0" collapsed="false">
      <c r="A10" s="9" t="s">
        <v>94</v>
      </c>
      <c r="B10" s="9" t="s">
        <v>16</v>
      </c>
      <c r="C10" s="9" t="s">
        <v>95</v>
      </c>
      <c r="D10" s="9" t="s">
        <v>27</v>
      </c>
      <c r="E10" s="9" t="s">
        <v>96</v>
      </c>
      <c r="F10" s="9" t="s">
        <v>97</v>
      </c>
      <c r="G10" s="9" t="s">
        <v>98</v>
      </c>
      <c r="H10" s="10" t="s">
        <v>80</v>
      </c>
      <c r="I10" s="10" t="s">
        <v>13</v>
      </c>
      <c r="J10" s="9"/>
      <c r="K10" s="9" t="s">
        <v>99</v>
      </c>
      <c r="L10" s="9" t="s">
        <v>82</v>
      </c>
    </row>
    <row r="11" customFormat="false" ht="15" hidden="false" customHeight="false" outlineLevel="0" collapsed="false">
      <c r="A11" s="9" t="s">
        <v>100</v>
      </c>
      <c r="B11" s="9" t="s">
        <v>16</v>
      </c>
      <c r="C11" s="9" t="s">
        <v>101</v>
      </c>
      <c r="D11" s="9" t="s">
        <v>27</v>
      </c>
      <c r="E11" s="9" t="s">
        <v>102</v>
      </c>
      <c r="F11" s="9" t="s">
        <v>103</v>
      </c>
      <c r="G11" s="9" t="s">
        <v>104</v>
      </c>
      <c r="H11" s="10" t="s">
        <v>67</v>
      </c>
      <c r="I11" s="10" t="s">
        <v>13</v>
      </c>
      <c r="J11" s="9"/>
      <c r="K11" s="9" t="s">
        <v>105</v>
      </c>
      <c r="L11" s="9" t="s">
        <v>82</v>
      </c>
    </row>
    <row r="12" customFormat="false" ht="15" hidden="false" customHeight="false" outlineLevel="0" collapsed="false">
      <c r="A12" s="9" t="s">
        <v>106</v>
      </c>
      <c r="B12" s="9" t="s">
        <v>16</v>
      </c>
      <c r="C12" s="9" t="s">
        <v>107</v>
      </c>
      <c r="D12" s="9" t="s">
        <v>28</v>
      </c>
      <c r="E12" s="9" t="s">
        <v>108</v>
      </c>
      <c r="F12" s="9" t="s">
        <v>109</v>
      </c>
      <c r="G12" s="9" t="s">
        <v>110</v>
      </c>
      <c r="H12" s="10" t="s">
        <v>111</v>
      </c>
      <c r="I12" s="10" t="s">
        <v>14</v>
      </c>
      <c r="J12" s="9" t="s">
        <v>112</v>
      </c>
      <c r="K12" s="9" t="s">
        <v>113</v>
      </c>
      <c r="L12" s="9" t="s">
        <v>48</v>
      </c>
    </row>
    <row r="13" customFormat="false" ht="15" hidden="false" customHeight="false" outlineLevel="0" collapsed="false">
      <c r="A13" s="9" t="s">
        <v>114</v>
      </c>
      <c r="B13" s="9" t="s">
        <v>16</v>
      </c>
      <c r="C13" s="9" t="s">
        <v>115</v>
      </c>
      <c r="D13" s="9" t="s">
        <v>27</v>
      </c>
      <c r="E13" s="9" t="s">
        <v>116</v>
      </c>
      <c r="F13" s="9" t="s">
        <v>117</v>
      </c>
      <c r="G13" s="9" t="s">
        <v>118</v>
      </c>
      <c r="H13" s="10" t="s">
        <v>119</v>
      </c>
      <c r="I13" s="10" t="s">
        <v>14</v>
      </c>
      <c r="J13" s="9" t="s">
        <v>120</v>
      </c>
      <c r="K13" s="9" t="s">
        <v>121</v>
      </c>
      <c r="L13" s="9" t="s">
        <v>48</v>
      </c>
    </row>
    <row r="14" customFormat="false" ht="15" hidden="false" customHeight="false" outlineLevel="0" collapsed="false">
      <c r="A14" s="9" t="s">
        <v>122</v>
      </c>
      <c r="B14" s="9" t="s">
        <v>16</v>
      </c>
      <c r="C14" s="9" t="s">
        <v>123</v>
      </c>
      <c r="D14" s="9" t="s">
        <v>28</v>
      </c>
      <c r="E14" s="9" t="s">
        <v>124</v>
      </c>
      <c r="F14" s="9" t="s">
        <v>125</v>
      </c>
      <c r="G14" s="9" t="s">
        <v>126</v>
      </c>
      <c r="H14" s="10" t="s">
        <v>127</v>
      </c>
      <c r="I14" s="10" t="s">
        <v>14</v>
      </c>
      <c r="J14" s="9" t="s">
        <v>128</v>
      </c>
      <c r="K14" s="9" t="s">
        <v>129</v>
      </c>
      <c r="L14" s="9" t="s">
        <v>54</v>
      </c>
    </row>
    <row r="15" customFormat="false" ht="15" hidden="false" customHeight="false" outlineLevel="0" collapsed="false">
      <c r="A15" s="9" t="s">
        <v>130</v>
      </c>
      <c r="B15" s="9" t="s">
        <v>16</v>
      </c>
      <c r="C15" s="9" t="s">
        <v>131</v>
      </c>
      <c r="D15" s="9" t="s">
        <v>28</v>
      </c>
      <c r="E15" s="9" t="s">
        <v>132</v>
      </c>
      <c r="F15" s="9" t="s">
        <v>133</v>
      </c>
      <c r="G15" s="9" t="s">
        <v>134</v>
      </c>
      <c r="H15" s="10" t="s">
        <v>98</v>
      </c>
      <c r="I15" s="10" t="s">
        <v>14</v>
      </c>
      <c r="J15" s="9" t="s">
        <v>135</v>
      </c>
      <c r="K15" s="9" t="s">
        <v>136</v>
      </c>
      <c r="L15" s="9" t="s">
        <v>54</v>
      </c>
    </row>
    <row r="16" customFormat="false" ht="15" hidden="false" customHeight="false" outlineLevel="0" collapsed="false">
      <c r="A16" s="9" t="s">
        <v>137</v>
      </c>
      <c r="B16" s="9" t="s">
        <v>17</v>
      </c>
      <c r="C16" s="9" t="s">
        <v>138</v>
      </c>
      <c r="D16" s="9" t="s">
        <v>26</v>
      </c>
      <c r="E16" s="9" t="s">
        <v>139</v>
      </c>
      <c r="F16" s="9" t="s">
        <v>140</v>
      </c>
      <c r="G16" s="9" t="s">
        <v>141</v>
      </c>
      <c r="H16" s="10" t="s">
        <v>142</v>
      </c>
      <c r="I16" s="10" t="s">
        <v>13</v>
      </c>
      <c r="J16" s="9"/>
      <c r="K16" s="9" t="s">
        <v>143</v>
      </c>
      <c r="L16" s="9" t="s">
        <v>48</v>
      </c>
    </row>
    <row r="17" customFormat="false" ht="15" hidden="false" customHeight="false" outlineLevel="0" collapsed="false">
      <c r="A17" s="9" t="s">
        <v>144</v>
      </c>
      <c r="B17" s="9" t="s">
        <v>17</v>
      </c>
      <c r="C17" s="9" t="s">
        <v>145</v>
      </c>
      <c r="D17" s="9" t="s">
        <v>26</v>
      </c>
      <c r="E17" s="9" t="s">
        <v>146</v>
      </c>
      <c r="F17" s="9" t="s">
        <v>147</v>
      </c>
      <c r="G17" s="9" t="s">
        <v>148</v>
      </c>
      <c r="H17" s="10" t="s">
        <v>142</v>
      </c>
      <c r="I17" s="10" t="s">
        <v>13</v>
      </c>
      <c r="J17" s="9"/>
      <c r="K17" s="9" t="s">
        <v>149</v>
      </c>
      <c r="L17" s="9" t="s">
        <v>82</v>
      </c>
    </row>
    <row r="18" customFormat="false" ht="15" hidden="false" customHeight="false" outlineLevel="0" collapsed="false">
      <c r="A18" s="9" t="s">
        <v>150</v>
      </c>
      <c r="B18" s="9" t="s">
        <v>17</v>
      </c>
      <c r="C18" s="9" t="s">
        <v>151</v>
      </c>
      <c r="D18" s="9" t="s">
        <v>27</v>
      </c>
      <c r="E18" s="9" t="s">
        <v>152</v>
      </c>
      <c r="F18" s="9" t="s">
        <v>153</v>
      </c>
      <c r="G18" s="9" t="s">
        <v>154</v>
      </c>
      <c r="H18" s="10" t="s">
        <v>155</v>
      </c>
      <c r="I18" s="10" t="s">
        <v>13</v>
      </c>
      <c r="J18" s="9"/>
      <c r="K18" s="9" t="s">
        <v>156</v>
      </c>
      <c r="L18" s="9" t="s">
        <v>48</v>
      </c>
    </row>
    <row r="19" customFormat="false" ht="15" hidden="false" customHeight="false" outlineLevel="0" collapsed="false">
      <c r="A19" s="9" t="s">
        <v>157</v>
      </c>
      <c r="B19" s="9" t="s">
        <v>17</v>
      </c>
      <c r="C19" s="9" t="s">
        <v>158</v>
      </c>
      <c r="D19" s="9" t="s">
        <v>29</v>
      </c>
      <c r="E19" s="9" t="s">
        <v>159</v>
      </c>
      <c r="F19" s="9" t="s">
        <v>160</v>
      </c>
      <c r="G19" s="9" t="s">
        <v>161</v>
      </c>
      <c r="H19" s="10" t="s">
        <v>162</v>
      </c>
      <c r="I19" s="10" t="s">
        <v>13</v>
      </c>
      <c r="J19" s="9"/>
      <c r="K19" s="9" t="s">
        <v>163</v>
      </c>
      <c r="L19" s="9" t="s">
        <v>48</v>
      </c>
    </row>
    <row r="20" customFormat="false" ht="15" hidden="false" customHeight="false" outlineLevel="0" collapsed="false">
      <c r="A20" s="9" t="s">
        <v>164</v>
      </c>
      <c r="B20" s="9" t="s">
        <v>17</v>
      </c>
      <c r="C20" s="9" t="s">
        <v>165</v>
      </c>
      <c r="D20" s="9" t="s">
        <v>29</v>
      </c>
      <c r="E20" s="9" t="s">
        <v>166</v>
      </c>
      <c r="F20" s="9" t="s">
        <v>167</v>
      </c>
      <c r="G20" s="9" t="s">
        <v>168</v>
      </c>
      <c r="H20" s="10" t="s">
        <v>155</v>
      </c>
      <c r="I20" s="10" t="s">
        <v>13</v>
      </c>
      <c r="J20" s="9"/>
      <c r="K20" s="9" t="s">
        <v>169</v>
      </c>
      <c r="L20" s="9" t="s">
        <v>48</v>
      </c>
    </row>
    <row r="21" customFormat="false" ht="15" hidden="false" customHeight="false" outlineLevel="0" collapsed="false">
      <c r="A21" s="9" t="s">
        <v>170</v>
      </c>
      <c r="B21" s="9" t="s">
        <v>18</v>
      </c>
      <c r="C21" s="9" t="s">
        <v>171</v>
      </c>
      <c r="D21" s="9" t="s">
        <v>29</v>
      </c>
      <c r="E21" s="9" t="s">
        <v>172</v>
      </c>
      <c r="F21" s="9" t="s">
        <v>44</v>
      </c>
      <c r="G21" s="9" t="s">
        <v>173</v>
      </c>
      <c r="H21" s="10" t="s">
        <v>155</v>
      </c>
      <c r="I21" s="10" t="s">
        <v>13</v>
      </c>
      <c r="J21" s="9"/>
      <c r="K21" s="9" t="s">
        <v>174</v>
      </c>
      <c r="L21" s="9" t="s">
        <v>48</v>
      </c>
    </row>
    <row r="22" customFormat="false" ht="15" hidden="false" customHeight="false" outlineLevel="0" collapsed="false">
      <c r="A22" s="9" t="s">
        <v>175</v>
      </c>
      <c r="B22" s="9" t="s">
        <v>18</v>
      </c>
      <c r="C22" s="9" t="s">
        <v>176</v>
      </c>
      <c r="D22" s="9" t="s">
        <v>29</v>
      </c>
      <c r="E22" s="9" t="s">
        <v>177</v>
      </c>
      <c r="F22" s="9" t="s">
        <v>44</v>
      </c>
      <c r="G22" s="9" t="s">
        <v>178</v>
      </c>
      <c r="H22" s="10" t="s">
        <v>155</v>
      </c>
      <c r="I22" s="10" t="s">
        <v>13</v>
      </c>
      <c r="J22" s="9"/>
      <c r="K22" s="9" t="s">
        <v>179</v>
      </c>
      <c r="L22" s="9" t="s">
        <v>48</v>
      </c>
    </row>
    <row r="23" customFormat="false" ht="15" hidden="false" customHeight="false" outlineLevel="0" collapsed="false">
      <c r="A23" s="9" t="s">
        <v>180</v>
      </c>
      <c r="B23" s="9" t="s">
        <v>18</v>
      </c>
      <c r="C23" s="9" t="s">
        <v>181</v>
      </c>
      <c r="D23" s="9" t="s">
        <v>29</v>
      </c>
      <c r="E23" s="9" t="s">
        <v>182</v>
      </c>
      <c r="F23" s="9" t="s">
        <v>183</v>
      </c>
      <c r="G23" s="9" t="s">
        <v>178</v>
      </c>
      <c r="H23" s="10" t="s">
        <v>155</v>
      </c>
      <c r="I23" s="10" t="s">
        <v>13</v>
      </c>
      <c r="J23" s="9"/>
      <c r="K23" s="9" t="s">
        <v>184</v>
      </c>
      <c r="L23" s="9" t="s">
        <v>48</v>
      </c>
    </row>
    <row r="24" customFormat="false" ht="15" hidden="false" customHeight="false" outlineLevel="0" collapsed="false">
      <c r="A24" s="9" t="s">
        <v>185</v>
      </c>
      <c r="B24" s="9" t="s">
        <v>18</v>
      </c>
      <c r="C24" s="9" t="s">
        <v>186</v>
      </c>
      <c r="D24" s="9" t="s">
        <v>29</v>
      </c>
      <c r="E24" s="9" t="s">
        <v>187</v>
      </c>
      <c r="F24" s="9" t="s">
        <v>44</v>
      </c>
      <c r="G24" s="9" t="s">
        <v>178</v>
      </c>
      <c r="H24" s="10" t="s">
        <v>155</v>
      </c>
      <c r="I24" s="10" t="s">
        <v>13</v>
      </c>
      <c r="J24" s="9"/>
      <c r="K24" s="9" t="s">
        <v>188</v>
      </c>
      <c r="L24" s="9" t="s">
        <v>82</v>
      </c>
    </row>
    <row r="25" customFormat="false" ht="15" hidden="false" customHeight="false" outlineLevel="0" collapsed="false">
      <c r="A25" s="9" t="s">
        <v>189</v>
      </c>
      <c r="B25" s="9" t="s">
        <v>18</v>
      </c>
      <c r="C25" s="9" t="s">
        <v>190</v>
      </c>
      <c r="D25" s="9" t="s">
        <v>27</v>
      </c>
      <c r="E25" s="9" t="s">
        <v>191</v>
      </c>
      <c r="F25" s="9" t="s">
        <v>192</v>
      </c>
      <c r="G25" s="9" t="s">
        <v>193</v>
      </c>
      <c r="H25" s="10" t="s">
        <v>173</v>
      </c>
      <c r="I25" s="10" t="s">
        <v>14</v>
      </c>
      <c r="J25" s="9" t="s">
        <v>194</v>
      </c>
      <c r="K25" s="9" t="s">
        <v>195</v>
      </c>
      <c r="L25" s="9" t="s">
        <v>54</v>
      </c>
    </row>
    <row r="26" customFormat="false" ht="15" hidden="false" customHeight="false" outlineLevel="0" collapsed="false">
      <c r="A26" s="9" t="s">
        <v>196</v>
      </c>
      <c r="B26" s="9" t="s">
        <v>18</v>
      </c>
      <c r="C26" s="9" t="s">
        <v>197</v>
      </c>
      <c r="D26" s="9" t="s">
        <v>27</v>
      </c>
      <c r="E26" s="9" t="s">
        <v>198</v>
      </c>
      <c r="F26" s="9" t="s">
        <v>199</v>
      </c>
      <c r="G26" s="9" t="s">
        <v>178</v>
      </c>
      <c r="H26" s="10" t="s">
        <v>200</v>
      </c>
      <c r="I26" s="10" t="s">
        <v>14</v>
      </c>
      <c r="J26" s="9" t="s">
        <v>201</v>
      </c>
      <c r="K26" s="9" t="s">
        <v>202</v>
      </c>
      <c r="L26" s="9" t="s">
        <v>82</v>
      </c>
    </row>
    <row r="27" customFormat="false" ht="23.85" hidden="false" customHeight="false" outlineLevel="0" collapsed="false">
      <c r="A27" s="9" t="s">
        <v>203</v>
      </c>
      <c r="B27" s="9" t="s">
        <v>19</v>
      </c>
      <c r="C27" s="9" t="s">
        <v>204</v>
      </c>
      <c r="D27" s="9" t="s">
        <v>26</v>
      </c>
      <c r="E27" s="9" t="s">
        <v>205</v>
      </c>
      <c r="F27" s="9" t="s">
        <v>206</v>
      </c>
      <c r="G27" s="9" t="s">
        <v>207</v>
      </c>
      <c r="H27" s="10" t="s">
        <v>207</v>
      </c>
      <c r="I27" s="10" t="s">
        <v>13</v>
      </c>
      <c r="J27" s="9"/>
      <c r="K27" s="9" t="s">
        <v>208</v>
      </c>
      <c r="L27" s="9" t="s">
        <v>48</v>
      </c>
    </row>
    <row r="28" customFormat="false" ht="15" hidden="false" customHeight="false" outlineLevel="0" collapsed="false">
      <c r="A28" s="9" t="s">
        <v>209</v>
      </c>
      <c r="B28" s="9" t="s">
        <v>19</v>
      </c>
      <c r="C28" s="9" t="s">
        <v>210</v>
      </c>
      <c r="D28" s="9" t="s">
        <v>27</v>
      </c>
      <c r="E28" s="9" t="s">
        <v>211</v>
      </c>
      <c r="F28" s="9" t="s">
        <v>212</v>
      </c>
      <c r="G28" s="9" t="s">
        <v>213</v>
      </c>
      <c r="H28" s="10" t="s">
        <v>80</v>
      </c>
      <c r="I28" s="10" t="s">
        <v>13</v>
      </c>
      <c r="J28" s="9"/>
      <c r="K28" s="9" t="s">
        <v>214</v>
      </c>
      <c r="L28" s="9" t="s">
        <v>82</v>
      </c>
    </row>
    <row r="29" customFormat="false" ht="15" hidden="false" customHeight="false" outlineLevel="0" collapsed="false">
      <c r="A29" s="9" t="s">
        <v>215</v>
      </c>
      <c r="B29" s="9" t="s">
        <v>19</v>
      </c>
      <c r="C29" s="9" t="s">
        <v>216</v>
      </c>
      <c r="D29" s="9" t="s">
        <v>27</v>
      </c>
      <c r="E29" s="9" t="s">
        <v>217</v>
      </c>
      <c r="F29" s="9" t="s">
        <v>218</v>
      </c>
      <c r="G29" s="9" t="s">
        <v>87</v>
      </c>
      <c r="H29" s="10" t="s">
        <v>80</v>
      </c>
      <c r="I29" s="10" t="s">
        <v>13</v>
      </c>
      <c r="J29" s="9"/>
      <c r="K29" s="9" t="s">
        <v>219</v>
      </c>
      <c r="L29" s="9" t="s">
        <v>82</v>
      </c>
    </row>
    <row r="30" customFormat="false" ht="15" hidden="false" customHeight="false" outlineLevel="0" collapsed="false">
      <c r="A30" s="9" t="s">
        <v>220</v>
      </c>
      <c r="B30" s="9" t="s">
        <v>19</v>
      </c>
      <c r="C30" s="9" t="s">
        <v>221</v>
      </c>
      <c r="D30" s="9" t="s">
        <v>27</v>
      </c>
      <c r="E30" s="9" t="s">
        <v>222</v>
      </c>
      <c r="F30" s="9" t="s">
        <v>223</v>
      </c>
      <c r="G30" s="9" t="s">
        <v>224</v>
      </c>
      <c r="H30" s="10" t="s">
        <v>80</v>
      </c>
      <c r="I30" s="10" t="s">
        <v>13</v>
      </c>
      <c r="J30" s="9"/>
      <c r="K30" s="9" t="s">
        <v>225</v>
      </c>
      <c r="L30" s="9" t="s">
        <v>82</v>
      </c>
    </row>
    <row r="31" customFormat="false" ht="15" hidden="false" customHeight="false" outlineLevel="0" collapsed="false">
      <c r="A31" s="9" t="s">
        <v>226</v>
      </c>
      <c r="B31" s="9" t="s">
        <v>19</v>
      </c>
      <c r="C31" s="9" t="s">
        <v>227</v>
      </c>
      <c r="D31" s="9" t="s">
        <v>28</v>
      </c>
      <c r="E31" s="9" t="s">
        <v>228</v>
      </c>
      <c r="F31" s="9" t="s">
        <v>229</v>
      </c>
      <c r="G31" s="9" t="s">
        <v>230</v>
      </c>
      <c r="H31" s="10" t="s">
        <v>231</v>
      </c>
      <c r="I31" s="10" t="s">
        <v>13</v>
      </c>
      <c r="J31" s="9"/>
      <c r="K31" s="9" t="s">
        <v>232</v>
      </c>
      <c r="L31" s="9" t="s">
        <v>82</v>
      </c>
    </row>
    <row r="32" customFormat="false" ht="15" hidden="false" customHeight="false" outlineLevel="0" collapsed="false">
      <c r="A32" s="9" t="s">
        <v>233</v>
      </c>
      <c r="B32" s="9" t="s">
        <v>19</v>
      </c>
      <c r="C32" s="9" t="s">
        <v>234</v>
      </c>
      <c r="D32" s="9" t="s">
        <v>28</v>
      </c>
      <c r="E32" s="9" t="s">
        <v>235</v>
      </c>
      <c r="F32" s="9" t="s">
        <v>236</v>
      </c>
      <c r="G32" s="9" t="s">
        <v>237</v>
      </c>
      <c r="H32" s="10" t="s">
        <v>231</v>
      </c>
      <c r="I32" s="10" t="s">
        <v>13</v>
      </c>
      <c r="J32" s="9"/>
      <c r="K32" s="9" t="s">
        <v>238</v>
      </c>
      <c r="L32" s="9" t="s">
        <v>82</v>
      </c>
    </row>
    <row r="33" customFormat="false" ht="15" hidden="false" customHeight="false" outlineLevel="0" collapsed="false">
      <c r="A33" s="9" t="s">
        <v>239</v>
      </c>
      <c r="B33" s="9" t="s">
        <v>19</v>
      </c>
      <c r="C33" s="9" t="s">
        <v>240</v>
      </c>
      <c r="D33" s="9" t="s">
        <v>27</v>
      </c>
      <c r="E33" s="9" t="s">
        <v>241</v>
      </c>
      <c r="F33" s="9" t="s">
        <v>44</v>
      </c>
      <c r="G33" s="9" t="s">
        <v>242</v>
      </c>
      <c r="H33" s="10" t="s">
        <v>243</v>
      </c>
      <c r="I33" s="10" t="s">
        <v>13</v>
      </c>
      <c r="J33" s="9"/>
      <c r="K33" s="9" t="s">
        <v>244</v>
      </c>
      <c r="L33" s="9" t="s">
        <v>48</v>
      </c>
    </row>
    <row r="34" customFormat="false" ht="23.85" hidden="false" customHeight="false" outlineLevel="0" collapsed="false">
      <c r="A34" s="9" t="s">
        <v>245</v>
      </c>
      <c r="B34" s="9" t="s">
        <v>19</v>
      </c>
      <c r="C34" s="9" t="s">
        <v>246</v>
      </c>
      <c r="D34" s="9" t="s">
        <v>27</v>
      </c>
      <c r="E34" s="9" t="s">
        <v>247</v>
      </c>
      <c r="F34" s="9" t="s">
        <v>248</v>
      </c>
      <c r="G34" s="9" t="s">
        <v>249</v>
      </c>
      <c r="H34" s="10" t="s">
        <v>250</v>
      </c>
      <c r="I34" s="10" t="s">
        <v>14</v>
      </c>
      <c r="J34" s="9" t="s">
        <v>251</v>
      </c>
      <c r="K34" s="9" t="s">
        <v>252</v>
      </c>
      <c r="L34" s="9" t="s">
        <v>82</v>
      </c>
    </row>
    <row r="35" customFormat="false" ht="23.85" hidden="false" customHeight="false" outlineLevel="0" collapsed="false">
      <c r="A35" s="9" t="s">
        <v>253</v>
      </c>
      <c r="B35" s="9" t="s">
        <v>19</v>
      </c>
      <c r="C35" s="9" t="s">
        <v>254</v>
      </c>
      <c r="D35" s="9" t="s">
        <v>27</v>
      </c>
      <c r="E35" s="9" t="s">
        <v>255</v>
      </c>
      <c r="F35" s="9" t="s">
        <v>256</v>
      </c>
      <c r="G35" s="9" t="s">
        <v>257</v>
      </c>
      <c r="H35" s="10" t="s">
        <v>258</v>
      </c>
      <c r="I35" s="10" t="s">
        <v>14</v>
      </c>
      <c r="J35" s="9" t="s">
        <v>259</v>
      </c>
      <c r="K35" s="9" t="s">
        <v>260</v>
      </c>
      <c r="L35" s="9" t="s">
        <v>82</v>
      </c>
    </row>
    <row r="36" customFormat="false" ht="15" hidden="false" customHeight="false" outlineLevel="0" collapsed="false">
      <c r="A36" s="9" t="s">
        <v>261</v>
      </c>
      <c r="B36" s="9" t="s">
        <v>19</v>
      </c>
      <c r="C36" s="9" t="s">
        <v>262</v>
      </c>
      <c r="D36" s="9" t="s">
        <v>27</v>
      </c>
      <c r="E36" s="9" t="s">
        <v>263</v>
      </c>
      <c r="F36" s="9" t="s">
        <v>264</v>
      </c>
      <c r="G36" s="9" t="s">
        <v>265</v>
      </c>
      <c r="H36" s="10" t="s">
        <v>266</v>
      </c>
      <c r="I36" s="10" t="s">
        <v>14</v>
      </c>
      <c r="J36" s="9" t="s">
        <v>267</v>
      </c>
      <c r="K36" s="9" t="s">
        <v>268</v>
      </c>
      <c r="L36" s="9" t="s">
        <v>54</v>
      </c>
    </row>
    <row r="37" customFormat="false" ht="23.85" hidden="false" customHeight="false" outlineLevel="0" collapsed="false">
      <c r="A37" s="9" t="s">
        <v>269</v>
      </c>
      <c r="B37" s="9" t="s">
        <v>20</v>
      </c>
      <c r="C37" s="9" t="s">
        <v>270</v>
      </c>
      <c r="D37" s="9" t="s">
        <v>26</v>
      </c>
      <c r="E37" s="9" t="s">
        <v>271</v>
      </c>
      <c r="F37" s="9" t="s">
        <v>272</v>
      </c>
      <c r="G37" s="9" t="s">
        <v>273</v>
      </c>
      <c r="H37" s="10" t="s">
        <v>274</v>
      </c>
      <c r="I37" s="10" t="s">
        <v>13</v>
      </c>
      <c r="J37" s="9"/>
      <c r="K37" s="9" t="s">
        <v>275</v>
      </c>
      <c r="L37" s="9" t="s">
        <v>48</v>
      </c>
    </row>
    <row r="38" customFormat="false" ht="15" hidden="false" customHeight="false" outlineLevel="0" collapsed="false">
      <c r="A38" s="9" t="s">
        <v>276</v>
      </c>
      <c r="B38" s="9" t="s">
        <v>20</v>
      </c>
      <c r="C38" s="9" t="s">
        <v>277</v>
      </c>
      <c r="D38" s="9" t="s">
        <v>26</v>
      </c>
      <c r="E38" s="9" t="s">
        <v>278</v>
      </c>
      <c r="F38" s="9" t="s">
        <v>44</v>
      </c>
      <c r="G38" s="9" t="s">
        <v>279</v>
      </c>
      <c r="H38" s="10" t="s">
        <v>280</v>
      </c>
      <c r="I38" s="10" t="s">
        <v>13</v>
      </c>
      <c r="J38" s="9"/>
      <c r="K38" s="9" t="s">
        <v>281</v>
      </c>
      <c r="L38" s="9" t="s">
        <v>82</v>
      </c>
    </row>
    <row r="39" customFormat="false" ht="15" hidden="false" customHeight="false" outlineLevel="0" collapsed="false">
      <c r="A39" s="9" t="s">
        <v>282</v>
      </c>
      <c r="B39" s="9" t="s">
        <v>20</v>
      </c>
      <c r="C39" s="9" t="s">
        <v>283</v>
      </c>
      <c r="D39" s="9" t="s">
        <v>26</v>
      </c>
      <c r="E39" s="9" t="s">
        <v>284</v>
      </c>
      <c r="F39" s="9" t="s">
        <v>44</v>
      </c>
      <c r="G39" s="9" t="s">
        <v>285</v>
      </c>
      <c r="H39" s="10" t="s">
        <v>280</v>
      </c>
      <c r="I39" s="10" t="s">
        <v>13</v>
      </c>
      <c r="J39" s="9"/>
      <c r="K39" s="9" t="s">
        <v>286</v>
      </c>
      <c r="L39" s="9" t="s">
        <v>82</v>
      </c>
    </row>
    <row r="40" customFormat="false" ht="15" hidden="false" customHeight="false" outlineLevel="0" collapsed="false">
      <c r="A40" s="9" t="s">
        <v>287</v>
      </c>
      <c r="B40" s="9" t="s">
        <v>20</v>
      </c>
      <c r="C40" s="9" t="s">
        <v>288</v>
      </c>
      <c r="D40" s="9" t="s">
        <v>27</v>
      </c>
      <c r="E40" s="9" t="s">
        <v>289</v>
      </c>
      <c r="F40" s="9" t="s">
        <v>44</v>
      </c>
      <c r="G40" s="9" t="s">
        <v>290</v>
      </c>
      <c r="H40" s="10" t="s">
        <v>243</v>
      </c>
      <c r="I40" s="10" t="s">
        <v>13</v>
      </c>
      <c r="J40" s="9"/>
      <c r="K40" s="9" t="s">
        <v>291</v>
      </c>
      <c r="L40" s="9" t="s">
        <v>54</v>
      </c>
    </row>
    <row r="41" customFormat="false" ht="15" hidden="false" customHeight="false" outlineLevel="0" collapsed="false">
      <c r="A41" s="9" t="s">
        <v>292</v>
      </c>
      <c r="B41" s="9" t="s">
        <v>20</v>
      </c>
      <c r="C41" s="9" t="s">
        <v>293</v>
      </c>
      <c r="D41" s="9" t="s">
        <v>26</v>
      </c>
      <c r="E41" s="9" t="s">
        <v>294</v>
      </c>
      <c r="F41" s="9" t="s">
        <v>295</v>
      </c>
      <c r="G41" s="9" t="s">
        <v>296</v>
      </c>
      <c r="H41" s="10" t="s">
        <v>297</v>
      </c>
      <c r="I41" s="10" t="s">
        <v>13</v>
      </c>
      <c r="J41" s="9"/>
      <c r="K41" s="9" t="s">
        <v>298</v>
      </c>
      <c r="L41" s="9" t="s">
        <v>82</v>
      </c>
    </row>
    <row r="42" customFormat="false" ht="15" hidden="false" customHeight="false" outlineLevel="0" collapsed="false">
      <c r="A42" s="9" t="s">
        <v>299</v>
      </c>
      <c r="B42" s="9" t="s">
        <v>20</v>
      </c>
      <c r="C42" s="9" t="s">
        <v>300</v>
      </c>
      <c r="D42" s="9" t="s">
        <v>29</v>
      </c>
      <c r="E42" s="9" t="s">
        <v>301</v>
      </c>
      <c r="F42" s="9" t="s">
        <v>302</v>
      </c>
      <c r="G42" s="9" t="s">
        <v>303</v>
      </c>
      <c r="H42" s="10" t="s">
        <v>304</v>
      </c>
      <c r="I42" s="10" t="s">
        <v>13</v>
      </c>
      <c r="J42" s="9"/>
      <c r="K42" s="9" t="s">
        <v>305</v>
      </c>
      <c r="L42" s="9" t="s">
        <v>48</v>
      </c>
    </row>
    <row r="43" customFormat="false" ht="15" hidden="false" customHeight="false" outlineLevel="0" collapsed="false">
      <c r="A43" s="9" t="s">
        <v>306</v>
      </c>
      <c r="B43" s="9" t="s">
        <v>20</v>
      </c>
      <c r="C43" s="9" t="s">
        <v>307</v>
      </c>
      <c r="D43" s="9" t="s">
        <v>26</v>
      </c>
      <c r="E43" s="9" t="s">
        <v>308</v>
      </c>
      <c r="F43" s="9" t="s">
        <v>44</v>
      </c>
      <c r="G43" s="9" t="s">
        <v>297</v>
      </c>
      <c r="H43" s="10" t="s">
        <v>297</v>
      </c>
      <c r="I43" s="10" t="s">
        <v>13</v>
      </c>
      <c r="J43" s="9"/>
      <c r="K43" s="9" t="s">
        <v>309</v>
      </c>
      <c r="L43" s="9" t="s">
        <v>54</v>
      </c>
    </row>
    <row r="44" customFormat="false" ht="23.85" hidden="false" customHeight="false" outlineLevel="0" collapsed="false">
      <c r="A44" s="9" t="s">
        <v>310</v>
      </c>
      <c r="B44" s="9" t="s">
        <v>21</v>
      </c>
      <c r="C44" s="9" t="s">
        <v>311</v>
      </c>
      <c r="D44" s="9" t="s">
        <v>26</v>
      </c>
      <c r="E44" s="9" t="s">
        <v>312</v>
      </c>
      <c r="F44" s="9" t="s">
        <v>272</v>
      </c>
      <c r="G44" s="9" t="s">
        <v>313</v>
      </c>
      <c r="H44" s="10" t="s">
        <v>314</v>
      </c>
      <c r="I44" s="10" t="s">
        <v>13</v>
      </c>
      <c r="J44" s="9"/>
      <c r="K44" s="9" t="s">
        <v>315</v>
      </c>
      <c r="L44" s="9" t="s">
        <v>48</v>
      </c>
    </row>
    <row r="45" customFormat="false" ht="15" hidden="false" customHeight="false" outlineLevel="0" collapsed="false">
      <c r="A45" s="9" t="s">
        <v>316</v>
      </c>
      <c r="B45" s="9" t="s">
        <v>22</v>
      </c>
      <c r="C45" s="9" t="s">
        <v>317</v>
      </c>
      <c r="D45" s="9" t="s">
        <v>29</v>
      </c>
      <c r="E45" s="9" t="s">
        <v>318</v>
      </c>
      <c r="F45" s="9" t="s">
        <v>319</v>
      </c>
      <c r="G45" s="9" t="s">
        <v>320</v>
      </c>
      <c r="H45" s="10" t="s">
        <v>320</v>
      </c>
      <c r="I45" s="10" t="s">
        <v>13</v>
      </c>
      <c r="J45" s="9"/>
      <c r="K45" s="9" t="s">
        <v>321</v>
      </c>
      <c r="L45" s="9" t="s">
        <v>48</v>
      </c>
    </row>
    <row r="46" customFormat="false" ht="15" hidden="false" customHeight="false" outlineLevel="0" collapsed="false">
      <c r="A46" s="9" t="s">
        <v>322</v>
      </c>
      <c r="B46" s="9" t="s">
        <v>22</v>
      </c>
      <c r="C46" s="9" t="s">
        <v>323</v>
      </c>
      <c r="D46" s="9" t="s">
        <v>29</v>
      </c>
      <c r="E46" s="9" t="s">
        <v>324</v>
      </c>
      <c r="F46" s="9" t="s">
        <v>319</v>
      </c>
      <c r="G46" s="9" t="s">
        <v>325</v>
      </c>
      <c r="H46" s="10" t="s">
        <v>280</v>
      </c>
      <c r="I46" s="10" t="s">
        <v>13</v>
      </c>
      <c r="J46" s="9"/>
      <c r="K46" s="9" t="s">
        <v>326</v>
      </c>
      <c r="L46" s="9" t="s">
        <v>48</v>
      </c>
    </row>
    <row r="47" customFormat="false" ht="15" hidden="false" customHeight="false" outlineLevel="0" collapsed="false">
      <c r="A47" s="9" t="s">
        <v>327</v>
      </c>
      <c r="B47" s="9" t="s">
        <v>23</v>
      </c>
      <c r="C47" s="9" t="s">
        <v>328</v>
      </c>
      <c r="D47" s="9" t="s">
        <v>26</v>
      </c>
      <c r="E47" s="9" t="s">
        <v>329</v>
      </c>
      <c r="F47" s="9" t="s">
        <v>330</v>
      </c>
      <c r="G47" s="9" t="s">
        <v>331</v>
      </c>
      <c r="H47" s="10" t="s">
        <v>280</v>
      </c>
      <c r="I47" s="10" t="s">
        <v>13</v>
      </c>
      <c r="J47" s="9"/>
      <c r="K47" s="9" t="s">
        <v>332</v>
      </c>
      <c r="L47" s="9" t="s">
        <v>82</v>
      </c>
    </row>
    <row r="48" customFormat="false" ht="15" hidden="false" customHeight="false" outlineLevel="0" collapsed="false">
      <c r="A48" s="9" t="s">
        <v>333</v>
      </c>
      <c r="B48" s="9" t="s">
        <v>23</v>
      </c>
      <c r="C48" s="9" t="s">
        <v>334</v>
      </c>
      <c r="D48" s="9" t="s">
        <v>26</v>
      </c>
      <c r="E48" s="9" t="s">
        <v>335</v>
      </c>
      <c r="F48" s="9" t="s">
        <v>44</v>
      </c>
      <c r="G48" s="9" t="s">
        <v>336</v>
      </c>
      <c r="H48" s="10" t="s">
        <v>280</v>
      </c>
      <c r="I48" s="10" t="s">
        <v>13</v>
      </c>
      <c r="J48" s="9"/>
      <c r="K48" s="9" t="s">
        <v>337</v>
      </c>
      <c r="L48" s="9" t="s">
        <v>48</v>
      </c>
    </row>
    <row r="49" customFormat="false" ht="15" hidden="false" customHeight="false" outlineLevel="0" collapsed="false">
      <c r="A49" s="9" t="s">
        <v>338</v>
      </c>
      <c r="B49" s="9" t="s">
        <v>23</v>
      </c>
      <c r="C49" s="9" t="s">
        <v>339</v>
      </c>
      <c r="D49" s="9" t="s">
        <v>27</v>
      </c>
      <c r="E49" s="9" t="s">
        <v>340</v>
      </c>
      <c r="F49" s="9" t="s">
        <v>44</v>
      </c>
      <c r="G49" s="9" t="s">
        <v>341</v>
      </c>
      <c r="H49" s="10" t="s">
        <v>280</v>
      </c>
      <c r="I49" s="10" t="s">
        <v>13</v>
      </c>
      <c r="J49" s="9"/>
      <c r="K49" s="9" t="s">
        <v>342</v>
      </c>
      <c r="L49" s="9" t="s">
        <v>54</v>
      </c>
    </row>
  </sheetData>
  <autoFilter ref="A1:L49"/>
  <conditionalFormatting sqref="I2:I49">
    <cfRule type="expression" priority="2" aboveAverage="0" equalAverage="0" bottom="0" percent="0" rank="0" text="" dxfId="7">
      <formula>$I2="Pass"</formula>
    </cfRule>
    <cfRule type="expression" priority="3" aboveAverage="0" equalAverage="0" bottom="0" percent="0" rank="0" text="" dxfId="8">
      <formula>$I2="Fail"</formula>
    </cfRule>
  </conditionalFormatting>
  <dataValidations count="1">
    <dataValidation allowBlank="true" errorStyle="stop" operator="between" showDropDown="false" showErrorMessage="false" showInputMessage="false" sqref="I2:I49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6" min="5" style="0" width="10"/>
    <col collapsed="false" customWidth="true" hidden="false" outlineLevel="0" max="7" min="7" style="0" width="28"/>
  </cols>
  <sheetData>
    <row r="1" customFormat="false" ht="15" hidden="false" customHeight="false" outlineLevel="0" collapsed="false">
      <c r="A1" s="8" t="s">
        <v>38</v>
      </c>
      <c r="B1" s="8" t="s">
        <v>343</v>
      </c>
      <c r="C1" s="8" t="s">
        <v>344</v>
      </c>
      <c r="D1" s="8" t="s">
        <v>40</v>
      </c>
      <c r="E1" s="8" t="s">
        <v>345</v>
      </c>
      <c r="F1" s="8" t="s">
        <v>37</v>
      </c>
      <c r="G1" s="8" t="s">
        <v>346</v>
      </c>
    </row>
    <row r="2" customFormat="false" ht="15" hidden="false" customHeight="false" outlineLevel="0" collapsed="false">
      <c r="A2" s="11" t="s">
        <v>112</v>
      </c>
      <c r="B2" s="11" t="s">
        <v>347</v>
      </c>
      <c r="C2" s="11" t="s">
        <v>348</v>
      </c>
      <c r="D2" s="11" t="s">
        <v>349</v>
      </c>
      <c r="E2" s="11" t="s">
        <v>106</v>
      </c>
      <c r="F2" s="11" t="s">
        <v>350</v>
      </c>
      <c r="G2" s="11" t="s">
        <v>351</v>
      </c>
    </row>
    <row r="3" customFormat="false" ht="15" hidden="false" customHeight="false" outlineLevel="0" collapsed="false">
      <c r="A3" s="11" t="s">
        <v>120</v>
      </c>
      <c r="B3" s="11" t="s">
        <v>352</v>
      </c>
      <c r="C3" s="11" t="s">
        <v>348</v>
      </c>
      <c r="D3" s="11" t="s">
        <v>353</v>
      </c>
      <c r="E3" s="11" t="s">
        <v>114</v>
      </c>
      <c r="F3" s="11" t="s">
        <v>350</v>
      </c>
      <c r="G3" s="11" t="s">
        <v>351</v>
      </c>
    </row>
    <row r="4" customFormat="false" ht="15" hidden="false" customHeight="false" outlineLevel="0" collapsed="false">
      <c r="A4" s="11" t="s">
        <v>128</v>
      </c>
      <c r="B4" s="11" t="s">
        <v>354</v>
      </c>
      <c r="C4" s="11" t="s">
        <v>355</v>
      </c>
      <c r="D4" s="11" t="s">
        <v>356</v>
      </c>
      <c r="E4" s="11" t="s">
        <v>122</v>
      </c>
      <c r="F4" s="11" t="s">
        <v>350</v>
      </c>
      <c r="G4" s="11" t="s">
        <v>351</v>
      </c>
    </row>
    <row r="5" customFormat="false" ht="15" hidden="false" customHeight="false" outlineLevel="0" collapsed="false">
      <c r="A5" s="11" t="s">
        <v>135</v>
      </c>
      <c r="B5" s="11" t="s">
        <v>357</v>
      </c>
      <c r="C5" s="11" t="s">
        <v>355</v>
      </c>
      <c r="D5" s="11" t="s">
        <v>356</v>
      </c>
      <c r="E5" s="11" t="s">
        <v>130</v>
      </c>
      <c r="F5" s="11" t="s">
        <v>350</v>
      </c>
      <c r="G5" s="11" t="s">
        <v>351</v>
      </c>
    </row>
    <row r="6" customFormat="false" ht="15" hidden="false" customHeight="false" outlineLevel="0" collapsed="false">
      <c r="A6" s="11" t="s">
        <v>251</v>
      </c>
      <c r="B6" s="11" t="s">
        <v>358</v>
      </c>
      <c r="C6" s="11" t="s">
        <v>348</v>
      </c>
      <c r="D6" s="11" t="s">
        <v>349</v>
      </c>
      <c r="E6" s="11" t="s">
        <v>245</v>
      </c>
      <c r="F6" s="11" t="s">
        <v>350</v>
      </c>
      <c r="G6" s="11" t="s">
        <v>351</v>
      </c>
    </row>
    <row r="7" customFormat="false" ht="15" hidden="false" customHeight="false" outlineLevel="0" collapsed="false">
      <c r="A7" s="11" t="s">
        <v>259</v>
      </c>
      <c r="B7" s="11" t="s">
        <v>359</v>
      </c>
      <c r="C7" s="11" t="s">
        <v>348</v>
      </c>
      <c r="D7" s="11" t="s">
        <v>349</v>
      </c>
      <c r="E7" s="11" t="s">
        <v>253</v>
      </c>
      <c r="F7" s="11" t="s">
        <v>350</v>
      </c>
      <c r="G7" s="11" t="s">
        <v>351</v>
      </c>
    </row>
    <row r="8" customFormat="false" ht="15" hidden="false" customHeight="false" outlineLevel="0" collapsed="false">
      <c r="A8" s="11" t="s">
        <v>267</v>
      </c>
      <c r="B8" s="11" t="s">
        <v>360</v>
      </c>
      <c r="C8" s="11" t="s">
        <v>355</v>
      </c>
      <c r="D8" s="11" t="s">
        <v>356</v>
      </c>
      <c r="E8" s="11" t="s">
        <v>261</v>
      </c>
      <c r="F8" s="11" t="s">
        <v>350</v>
      </c>
      <c r="G8" s="11" t="s">
        <v>351</v>
      </c>
    </row>
    <row r="9" customFormat="false" ht="15" hidden="false" customHeight="false" outlineLevel="0" collapsed="false">
      <c r="A9" s="11" t="s">
        <v>201</v>
      </c>
      <c r="B9" s="11" t="s">
        <v>361</v>
      </c>
      <c r="C9" s="11" t="s">
        <v>348</v>
      </c>
      <c r="D9" s="11" t="s">
        <v>349</v>
      </c>
      <c r="E9" s="11" t="s">
        <v>196</v>
      </c>
      <c r="F9" s="11" t="s">
        <v>350</v>
      </c>
      <c r="G9" s="11" t="s">
        <v>351</v>
      </c>
    </row>
    <row r="10" customFormat="false" ht="15" hidden="false" customHeight="false" outlineLevel="0" collapsed="false">
      <c r="A10" s="11" t="s">
        <v>194</v>
      </c>
      <c r="B10" s="11" t="s">
        <v>362</v>
      </c>
      <c r="C10" s="11" t="s">
        <v>355</v>
      </c>
      <c r="D10" s="11" t="s">
        <v>356</v>
      </c>
      <c r="E10" s="11" t="s">
        <v>189</v>
      </c>
      <c r="F10" s="11" t="s">
        <v>350</v>
      </c>
      <c r="G10" s="11" t="s">
        <v>351</v>
      </c>
    </row>
  </sheetData>
  <dataValidations count="1">
    <dataValidation allowBlank="true" errorStyle="stop" operator="between" showDropDown="false" showErrorMessage="false" showInputMessage="false" sqref="F2:F10" type="list">
      <formula1>"Open,In Progress,Fixed,Retested,Closed"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2026-10-13T07:05:02Z</dcterms:created>
  <dc:creator>openpyxl</dc:creator>
  <dc:description/>
  <dc:language>en-US</dc:language>
  <cp:lastModifiedBy/>
  <dcterms:modified xsi:type="dcterms:W3CDTF">2026-10-13T07:05:02Z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